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s\far cry4\A study on Customer satisfaction of Disney plus Hotstar with special reference to Kottayam municipality .csv\"/>
    </mc:Choice>
  </mc:AlternateContent>
  <xr:revisionPtr revIDLastSave="0" documentId="13_ncr:1_{51271BF4-A032-4708-8C58-9769AEDDA41F}" xr6:coauthVersionLast="47" xr6:coauthVersionMax="47" xr10:uidLastSave="{00000000-0000-0000-0000-000000000000}"/>
  <bookViews>
    <workbookView xWindow="-120" yWindow="-120" windowWidth="20730" windowHeight="11040" activeTab="1" xr2:uid="{6DAD52AE-45EF-47D1-863D-FD6E617A171B}"/>
  </bookViews>
  <sheets>
    <sheet name="Assumptions" sheetId="1" r:id="rId1"/>
    <sheet name="Converter" sheetId="2" r:id="rId2"/>
    <sheet name="Monthly Revenue" sheetId="3" r:id="rId3"/>
    <sheet name="Monthly P&amp;L" sheetId="4" r:id="rId4"/>
    <sheet name="Capital Structure" sheetId="5" r:id="rId5"/>
    <sheet name="Fixed Asset Schedule" sheetId="6" r:id="rId6"/>
    <sheet name="Working Capital" sheetId="8" r:id="rId7"/>
    <sheet name="Annual P&amp;L" sheetId="7" r:id="rId8"/>
    <sheet name="Balance Sheet" sheetId="9" r:id="rId9"/>
    <sheet name="Cashflow statement" sheetId="10" r:id="rId10"/>
  </sheets>
  <externalReferences>
    <externalReference r:id="rId11"/>
  </externalReferences>
  <definedNames>
    <definedName name="Den">Converter!$D$1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24" i="9"/>
  <c r="A25" i="9"/>
  <c r="A26" i="9"/>
  <c r="A32" i="9"/>
  <c r="A33" i="9"/>
  <c r="A34" i="9"/>
  <c r="F12" i="9"/>
  <c r="G12" i="9"/>
  <c r="E12" i="9"/>
  <c r="A14" i="9"/>
  <c r="A13" i="9"/>
  <c r="F18" i="10"/>
  <c r="G18" i="10"/>
  <c r="F14" i="10"/>
  <c r="G14" i="10"/>
  <c r="F9" i="7" l="1"/>
  <c r="G9" i="7"/>
  <c r="F10" i="7"/>
  <c r="G10" i="7"/>
  <c r="F16" i="7"/>
  <c r="G16" i="7"/>
  <c r="F28" i="7"/>
  <c r="G28" i="7"/>
  <c r="E10" i="7"/>
  <c r="E16" i="7"/>
  <c r="E28" i="7"/>
  <c r="E9" i="7"/>
  <c r="D3" i="7"/>
  <c r="A26" i="7"/>
  <c r="A25" i="7"/>
  <c r="A24" i="7"/>
  <c r="A23" i="7"/>
  <c r="A22" i="7"/>
  <c r="A21" i="7"/>
  <c r="A20" i="7"/>
  <c r="A19" i="7"/>
  <c r="A18" i="7"/>
  <c r="A13" i="7"/>
  <c r="A12" i="7"/>
  <c r="A11" i="7"/>
  <c r="A7" i="7"/>
  <c r="A6" i="7"/>
  <c r="A5" i="7"/>
  <c r="A14" i="8"/>
  <c r="A15" i="8"/>
  <c r="A13" i="8"/>
  <c r="A7" i="8"/>
  <c r="A8" i="8"/>
  <c r="A6" i="8"/>
  <c r="A26" i="6"/>
  <c r="A19" i="6"/>
  <c r="A12" i="6"/>
  <c r="A4" i="6"/>
  <c r="B17" i="5"/>
  <c r="B16" i="5"/>
  <c r="B1" i="9"/>
  <c r="B1" i="8"/>
  <c r="B1" i="7"/>
  <c r="B1" i="6"/>
  <c r="B1" i="5"/>
  <c r="A6" i="5"/>
  <c r="A7" i="5"/>
  <c r="A8" i="5"/>
  <c r="A5" i="5"/>
  <c r="E20" i="4"/>
  <c r="F20" i="4" s="1"/>
  <c r="G20" i="4" s="1"/>
  <c r="E21" i="4"/>
  <c r="F21" i="4" s="1"/>
  <c r="G21" i="4" s="1"/>
  <c r="E22" i="4"/>
  <c r="F22" i="4" s="1"/>
  <c r="G22" i="4" s="1"/>
  <c r="E23" i="4"/>
  <c r="F23" i="4" s="1"/>
  <c r="G23" i="4" s="1"/>
  <c r="E24" i="4"/>
  <c r="F24" i="4" s="1"/>
  <c r="G24" i="4" s="1"/>
  <c r="E17" i="4"/>
  <c r="F17" i="4" s="1"/>
  <c r="A19" i="4"/>
  <c r="A20" i="4"/>
  <c r="A21" i="4"/>
  <c r="A22" i="4"/>
  <c r="A23" i="4"/>
  <c r="A24" i="4"/>
  <c r="A25" i="4"/>
  <c r="A26" i="4"/>
  <c r="A18" i="4"/>
  <c r="E14" i="4"/>
  <c r="F14" i="4" s="1"/>
  <c r="G14" i="4" s="1"/>
  <c r="A12" i="4"/>
  <c r="A13" i="4"/>
  <c r="A11" i="4"/>
  <c r="A6" i="4"/>
  <c r="A7" i="4"/>
  <c r="A5" i="4"/>
  <c r="E36" i="3"/>
  <c r="F36" i="3" s="1"/>
  <c r="G36" i="3" s="1"/>
  <c r="H36" i="3" s="1"/>
  <c r="I36" i="3" s="1"/>
  <c r="J36" i="3" s="1"/>
  <c r="K36" i="3" s="1"/>
  <c r="L36" i="3" s="1"/>
  <c r="M36" i="3" s="1"/>
  <c r="N36" i="3" s="1"/>
  <c r="O36" i="3" s="1"/>
  <c r="P36" i="3" s="1"/>
  <c r="Q36" i="3" s="1"/>
  <c r="R36" i="3" s="1"/>
  <c r="S36" i="3" s="1"/>
  <c r="T36" i="3" s="1"/>
  <c r="U36" i="3" s="1"/>
  <c r="V36" i="3" s="1"/>
  <c r="W36" i="3" s="1"/>
  <c r="X36" i="3" s="1"/>
  <c r="Y36" i="3" s="1"/>
  <c r="Z36" i="3" s="1"/>
  <c r="AA36" i="3" s="1"/>
  <c r="AB36" i="3" s="1"/>
  <c r="AC36" i="3" s="1"/>
  <c r="AD36" i="3" s="1"/>
  <c r="AE36" i="3" s="1"/>
  <c r="AF36" i="3" s="1"/>
  <c r="AG36" i="3" s="1"/>
  <c r="AH36" i="3" s="1"/>
  <c r="AI36" i="3" s="1"/>
  <c r="AJ36" i="3" s="1"/>
  <c r="AK36" i="3" s="1"/>
  <c r="AL36" i="3" s="1"/>
  <c r="AM36" i="3" s="1"/>
  <c r="AN36" i="3" s="1"/>
  <c r="E37" i="3"/>
  <c r="F37" i="3" s="1"/>
  <c r="G37" i="3" s="1"/>
  <c r="H37" i="3" s="1"/>
  <c r="I37" i="3" s="1"/>
  <c r="J37" i="3" s="1"/>
  <c r="K37" i="3" s="1"/>
  <c r="L37" i="3" s="1"/>
  <c r="M37" i="3" s="1"/>
  <c r="N37" i="3" s="1"/>
  <c r="O37" i="3" s="1"/>
  <c r="P37" i="3" s="1"/>
  <c r="Q37" i="3" s="1"/>
  <c r="R37" i="3" s="1"/>
  <c r="S37" i="3" s="1"/>
  <c r="T37" i="3" s="1"/>
  <c r="U37" i="3" s="1"/>
  <c r="V37" i="3" s="1"/>
  <c r="W37" i="3" s="1"/>
  <c r="X37" i="3" s="1"/>
  <c r="Y37" i="3" s="1"/>
  <c r="Z37" i="3" s="1"/>
  <c r="AA37" i="3" s="1"/>
  <c r="AB37" i="3" s="1"/>
  <c r="AC37" i="3" s="1"/>
  <c r="AD37" i="3" s="1"/>
  <c r="AE37" i="3" s="1"/>
  <c r="AF37" i="3" s="1"/>
  <c r="AG37" i="3" s="1"/>
  <c r="AH37" i="3" s="1"/>
  <c r="AI37" i="3" s="1"/>
  <c r="AJ37" i="3" s="1"/>
  <c r="AK37" i="3" s="1"/>
  <c r="AL37" i="3" s="1"/>
  <c r="AM37" i="3" s="1"/>
  <c r="AN37" i="3" s="1"/>
  <c r="E35" i="3"/>
  <c r="F35" i="3" s="1"/>
  <c r="E31" i="3"/>
  <c r="F31" i="3" s="1"/>
  <c r="G31" i="3" s="1"/>
  <c r="H31" i="3" s="1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AG31" i="3" s="1"/>
  <c r="AH31" i="3" s="1"/>
  <c r="AI31" i="3" s="1"/>
  <c r="AJ31" i="3" s="1"/>
  <c r="AK31" i="3" s="1"/>
  <c r="AL31" i="3" s="1"/>
  <c r="AM31" i="3" s="1"/>
  <c r="AN31" i="3" s="1"/>
  <c r="E32" i="3"/>
  <c r="F32" i="3" s="1"/>
  <c r="G32" i="3" s="1"/>
  <c r="H32" i="3" s="1"/>
  <c r="I32" i="3" s="1"/>
  <c r="J32" i="3" s="1"/>
  <c r="K32" i="3" s="1"/>
  <c r="L32" i="3" s="1"/>
  <c r="M32" i="3" s="1"/>
  <c r="N32" i="3" s="1"/>
  <c r="O32" i="3" s="1"/>
  <c r="P32" i="3" s="1"/>
  <c r="Q32" i="3" s="1"/>
  <c r="R32" i="3" s="1"/>
  <c r="S32" i="3" s="1"/>
  <c r="T32" i="3" s="1"/>
  <c r="U32" i="3" s="1"/>
  <c r="V32" i="3" s="1"/>
  <c r="W32" i="3" s="1"/>
  <c r="X32" i="3" s="1"/>
  <c r="Y32" i="3" s="1"/>
  <c r="Z32" i="3" s="1"/>
  <c r="AA32" i="3" s="1"/>
  <c r="AB32" i="3" s="1"/>
  <c r="AC32" i="3" s="1"/>
  <c r="AD32" i="3" s="1"/>
  <c r="AE32" i="3" s="1"/>
  <c r="AF32" i="3" s="1"/>
  <c r="AG32" i="3" s="1"/>
  <c r="AH32" i="3" s="1"/>
  <c r="AI32" i="3" s="1"/>
  <c r="AJ32" i="3" s="1"/>
  <c r="AK32" i="3" s="1"/>
  <c r="AL32" i="3" s="1"/>
  <c r="AM32" i="3" s="1"/>
  <c r="AN32" i="3" s="1"/>
  <c r="E30" i="3"/>
  <c r="F30" i="3" s="1"/>
  <c r="G30" i="3" s="1"/>
  <c r="H30" i="3" s="1"/>
  <c r="I30" i="3" s="1"/>
  <c r="J30" i="3" s="1"/>
  <c r="K30" i="3" s="1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AG30" i="3" s="1"/>
  <c r="AH30" i="3" s="1"/>
  <c r="AI30" i="3" s="1"/>
  <c r="AJ30" i="3" s="1"/>
  <c r="AK30" i="3" s="1"/>
  <c r="AL30" i="3" s="1"/>
  <c r="AM30" i="3" s="1"/>
  <c r="AN30" i="3" s="1"/>
  <c r="E25" i="3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AK25" i="3" s="1"/>
  <c r="AL25" i="3" s="1"/>
  <c r="AM25" i="3" s="1"/>
  <c r="AN25" i="3" s="1"/>
  <c r="E26" i="3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AH26" i="3" s="1"/>
  <c r="AI26" i="3" s="1"/>
  <c r="AJ26" i="3" s="1"/>
  <c r="AK26" i="3" s="1"/>
  <c r="AL26" i="3" s="1"/>
  <c r="AM26" i="3" s="1"/>
  <c r="AN26" i="3" s="1"/>
  <c r="E24" i="3"/>
  <c r="E20" i="3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E21" i="3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AK21" i="3" s="1"/>
  <c r="AL21" i="3" s="1"/>
  <c r="AM21" i="3" s="1"/>
  <c r="AN21" i="3" s="1"/>
  <c r="E19" i="3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E3" i="5"/>
  <c r="G3" i="7"/>
  <c r="G3" i="8"/>
  <c r="G3" i="10"/>
  <c r="G3" i="6"/>
  <c r="F3" i="7"/>
  <c r="F3" i="8"/>
  <c r="F3" i="10"/>
  <c r="F3" i="6"/>
  <c r="E3" i="7"/>
  <c r="E3" i="8"/>
  <c r="E3" i="9"/>
  <c r="F3" i="9" s="1"/>
  <c r="G3" i="9" s="1"/>
  <c r="E3" i="10"/>
  <c r="E3" i="6"/>
  <c r="E3" i="4"/>
  <c r="G3" i="4" s="1"/>
  <c r="I3" i="4" s="1"/>
  <c r="K3" i="4" s="1"/>
  <c r="M3" i="4" s="1"/>
  <c r="O3" i="4" s="1"/>
  <c r="Q3" i="4" s="1"/>
  <c r="S3" i="4" s="1"/>
  <c r="U3" i="4" s="1"/>
  <c r="W3" i="4" s="1"/>
  <c r="Y3" i="4" s="1"/>
  <c r="AA3" i="4" s="1"/>
  <c r="AC3" i="4" s="1"/>
  <c r="AE3" i="4" s="1"/>
  <c r="AG3" i="4" s="1"/>
  <c r="AI3" i="4" s="1"/>
  <c r="AK3" i="4" s="1"/>
  <c r="AM3" i="4" s="1"/>
  <c r="E3" i="3"/>
  <c r="F3" i="3" s="1"/>
  <c r="H3" i="3" s="1"/>
  <c r="J3" i="3" s="1"/>
  <c r="L3" i="3" s="1"/>
  <c r="N3" i="3" s="1"/>
  <c r="P3" i="3" s="1"/>
  <c r="R3" i="3" s="1"/>
  <c r="T3" i="3" s="1"/>
  <c r="V3" i="3" s="1"/>
  <c r="X3" i="3" s="1"/>
  <c r="Z3" i="3" s="1"/>
  <c r="AB3" i="3" s="1"/>
  <c r="AD3" i="3" s="1"/>
  <c r="AF3" i="3" s="1"/>
  <c r="AH3" i="3" s="1"/>
  <c r="AJ3" i="3" s="1"/>
  <c r="AL3" i="3" s="1"/>
  <c r="AN3" i="3" s="1"/>
  <c r="AN4" i="3" s="1"/>
  <c r="B1" i="4"/>
  <c r="B1" i="3"/>
  <c r="D1" i="2"/>
  <c r="E8" i="5" s="1"/>
  <c r="E28" i="6" s="1"/>
  <c r="E30" i="6" s="1"/>
  <c r="G101" i="1"/>
  <c r="G87" i="1"/>
  <c r="G67" i="1"/>
  <c r="G50" i="1"/>
  <c r="G40" i="1"/>
  <c r="G10" i="1"/>
  <c r="F10" i="1"/>
  <c r="C10" i="1"/>
  <c r="B10" i="1"/>
  <c r="G5" i="1"/>
  <c r="V66" i="3" l="1"/>
  <c r="N65" i="3"/>
  <c r="L66" i="3"/>
  <c r="J67" i="3"/>
  <c r="AL65" i="3"/>
  <c r="Y65" i="3"/>
  <c r="S67" i="3"/>
  <c r="I67" i="3"/>
  <c r="AK65" i="3"/>
  <c r="V67" i="3"/>
  <c r="E67" i="3"/>
  <c r="AI66" i="3"/>
  <c r="AB65" i="3"/>
  <c r="E66" i="3"/>
  <c r="Y66" i="3"/>
  <c r="O65" i="3"/>
  <c r="AE67" i="3"/>
  <c r="AH66" i="3"/>
  <c r="AF67" i="3"/>
  <c r="M66" i="3"/>
  <c r="G17" i="4"/>
  <c r="H20" i="4"/>
  <c r="AN67" i="3"/>
  <c r="AD67" i="3"/>
  <c r="R67" i="3"/>
  <c r="H67" i="3"/>
  <c r="AG66" i="3"/>
  <c r="U66" i="3"/>
  <c r="K66" i="3"/>
  <c r="AJ65" i="3"/>
  <c r="X65" i="3"/>
  <c r="M65" i="3"/>
  <c r="AM67" i="3"/>
  <c r="G67" i="3"/>
  <c r="AG65" i="3"/>
  <c r="L65" i="3"/>
  <c r="T66" i="3"/>
  <c r="E7" i="5"/>
  <c r="E21" i="6" s="1"/>
  <c r="E23" i="6" s="1"/>
  <c r="AA67" i="3"/>
  <c r="Q67" i="3"/>
  <c r="AD66" i="3"/>
  <c r="J66" i="3"/>
  <c r="W65" i="3"/>
  <c r="AL67" i="3"/>
  <c r="Z67" i="3"/>
  <c r="P67" i="3"/>
  <c r="F67" i="3"/>
  <c r="AC66" i="3"/>
  <c r="S66" i="3"/>
  <c r="I66" i="3"/>
  <c r="AF65" i="3"/>
  <c r="V65" i="3"/>
  <c r="H65" i="3"/>
  <c r="AI67" i="3"/>
  <c r="Y67" i="3"/>
  <c r="Y68" i="3" s="1"/>
  <c r="O67" i="3"/>
  <c r="AL66" i="3"/>
  <c r="AB66" i="3"/>
  <c r="R66" i="3"/>
  <c r="F66" i="3"/>
  <c r="AE65" i="3"/>
  <c r="U65" i="3"/>
  <c r="G65" i="3"/>
  <c r="E6" i="5"/>
  <c r="E14" i="6" s="1"/>
  <c r="E16" i="6" s="1"/>
  <c r="E17" i="6" s="1"/>
  <c r="I65" i="3"/>
  <c r="Q65" i="3"/>
  <c r="J65" i="3"/>
  <c r="J68" i="3" s="1"/>
  <c r="R65" i="3"/>
  <c r="Z65" i="3"/>
  <c r="AH65" i="3"/>
  <c r="G66" i="3"/>
  <c r="O66" i="3"/>
  <c r="W66" i="3"/>
  <c r="AE66" i="3"/>
  <c r="AM66" i="3"/>
  <c r="L67" i="3"/>
  <c r="T67" i="3"/>
  <c r="AB67" i="3"/>
  <c r="AJ67" i="3"/>
  <c r="E11" i="5"/>
  <c r="K65" i="3"/>
  <c r="S65" i="3"/>
  <c r="S68" i="3" s="1"/>
  <c r="AA65" i="3"/>
  <c r="AI65" i="3"/>
  <c r="AI68" i="3" s="1"/>
  <c r="H66" i="3"/>
  <c r="P66" i="3"/>
  <c r="X66" i="3"/>
  <c r="AF66" i="3"/>
  <c r="AN66" i="3"/>
  <c r="M67" i="3"/>
  <c r="U67" i="3"/>
  <c r="AC67" i="3"/>
  <c r="AK67" i="3"/>
  <c r="E10" i="5"/>
  <c r="E5" i="5"/>
  <c r="AH67" i="3"/>
  <c r="X67" i="3"/>
  <c r="N67" i="3"/>
  <c r="AK66" i="3"/>
  <c r="AA66" i="3"/>
  <c r="Q66" i="3"/>
  <c r="AN65" i="3"/>
  <c r="AD65" i="3"/>
  <c r="T65" i="3"/>
  <c r="F65" i="3"/>
  <c r="E65" i="3"/>
  <c r="E68" i="3" s="1"/>
  <c r="AG67" i="3"/>
  <c r="W67" i="3"/>
  <c r="K67" i="3"/>
  <c r="AJ66" i="3"/>
  <c r="Z66" i="3"/>
  <c r="N66" i="3"/>
  <c r="N68" i="3" s="1"/>
  <c r="AM65" i="3"/>
  <c r="AC65" i="3"/>
  <c r="P65" i="3"/>
  <c r="H22" i="4"/>
  <c r="H14" i="4"/>
  <c r="H23" i="4"/>
  <c r="H24" i="4"/>
  <c r="H21" i="4"/>
  <c r="E31" i="6"/>
  <c r="F33" i="3"/>
  <c r="AN33" i="3"/>
  <c r="N33" i="3"/>
  <c r="AN22" i="3"/>
  <c r="F38" i="3"/>
  <c r="G35" i="3"/>
  <c r="AI33" i="3"/>
  <c r="AA33" i="3"/>
  <c r="S33" i="3"/>
  <c r="K33" i="3"/>
  <c r="E33" i="3"/>
  <c r="AG33" i="3"/>
  <c r="Y33" i="3"/>
  <c r="Q33" i="3"/>
  <c r="I33" i="3"/>
  <c r="E38" i="3"/>
  <c r="AK33" i="3"/>
  <c r="AC33" i="3"/>
  <c r="U33" i="3"/>
  <c r="M33" i="3"/>
  <c r="AJ33" i="3"/>
  <c r="AB33" i="3"/>
  <c r="T33" i="3"/>
  <c r="L33" i="3"/>
  <c r="AH33" i="3"/>
  <c r="Z33" i="3"/>
  <c r="R33" i="3"/>
  <c r="J33" i="3"/>
  <c r="E27" i="3"/>
  <c r="AF33" i="3"/>
  <c r="X33" i="3"/>
  <c r="P33" i="3"/>
  <c r="H33" i="3"/>
  <c r="AL33" i="3"/>
  <c r="AD33" i="3"/>
  <c r="V33" i="3"/>
  <c r="AM33" i="3"/>
  <c r="AE33" i="3"/>
  <c r="W33" i="3"/>
  <c r="O33" i="3"/>
  <c r="G33" i="3"/>
  <c r="AH22" i="3"/>
  <c r="Z22" i="3"/>
  <c r="R22" i="3"/>
  <c r="J22" i="3"/>
  <c r="F24" i="3"/>
  <c r="AJ22" i="3"/>
  <c r="S22" i="3"/>
  <c r="E22" i="3"/>
  <c r="AG22" i="3"/>
  <c r="Y22" i="3"/>
  <c r="Q22" i="3"/>
  <c r="I22" i="3"/>
  <c r="AB22" i="3"/>
  <c r="L22" i="3"/>
  <c r="AF22" i="3"/>
  <c r="X22" i="3"/>
  <c r="P22" i="3"/>
  <c r="H22" i="3"/>
  <c r="AA22" i="3"/>
  <c r="K22" i="3"/>
  <c r="AM22" i="3"/>
  <c r="AE22" i="3"/>
  <c r="W22" i="3"/>
  <c r="O22" i="3"/>
  <c r="G22" i="3"/>
  <c r="AL22" i="3"/>
  <c r="AD22" i="3"/>
  <c r="V22" i="3"/>
  <c r="N22" i="3"/>
  <c r="F22" i="3"/>
  <c r="T22" i="3"/>
  <c r="AI22" i="3"/>
  <c r="AK22" i="3"/>
  <c r="AC22" i="3"/>
  <c r="U22" i="3"/>
  <c r="M22" i="3"/>
  <c r="P4" i="3"/>
  <c r="F4" i="3"/>
  <c r="F5" i="3" s="1"/>
  <c r="N4" i="3"/>
  <c r="V4" i="3"/>
  <c r="AD4" i="3"/>
  <c r="AL4" i="3"/>
  <c r="J4" i="3"/>
  <c r="L4" i="3"/>
  <c r="T4" i="3"/>
  <c r="AB4" i="3"/>
  <c r="AJ4" i="3"/>
  <c r="H4" i="3"/>
  <c r="X4" i="3"/>
  <c r="AF4" i="3"/>
  <c r="R4" i="3"/>
  <c r="Z4" i="3"/>
  <c r="AH4" i="3"/>
  <c r="E4" i="3"/>
  <c r="E5" i="3" s="1"/>
  <c r="G3" i="3"/>
  <c r="F3" i="4"/>
  <c r="H3" i="4" s="1"/>
  <c r="J3" i="4" s="1"/>
  <c r="L3" i="4" s="1"/>
  <c r="N3" i="4" s="1"/>
  <c r="P3" i="4" s="1"/>
  <c r="R3" i="4" s="1"/>
  <c r="T3" i="4" s="1"/>
  <c r="V3" i="4" s="1"/>
  <c r="X3" i="4" s="1"/>
  <c r="Z3" i="4" s="1"/>
  <c r="AB3" i="4" s="1"/>
  <c r="AD3" i="4" s="1"/>
  <c r="AF3" i="4" s="1"/>
  <c r="AH3" i="4" s="1"/>
  <c r="AJ3" i="4" s="1"/>
  <c r="AL3" i="4" s="1"/>
  <c r="AN3" i="4" s="1"/>
  <c r="Z68" i="3" l="1"/>
  <c r="AE68" i="3"/>
  <c r="P68" i="3"/>
  <c r="AK68" i="3"/>
  <c r="AF68" i="3"/>
  <c r="W68" i="3"/>
  <c r="AA68" i="3"/>
  <c r="E24" i="6"/>
  <c r="F20" i="6" s="1"/>
  <c r="AC68" i="3"/>
  <c r="AB68" i="3"/>
  <c r="O68" i="3"/>
  <c r="AD68" i="3"/>
  <c r="AN68" i="3"/>
  <c r="V68" i="3"/>
  <c r="AL68" i="3"/>
  <c r="I14" i="4"/>
  <c r="J14" i="4" s="1"/>
  <c r="K14" i="4" s="1"/>
  <c r="L14" i="4" s="1"/>
  <c r="M14" i="4" s="1"/>
  <c r="N14" i="4" s="1"/>
  <c r="O14" i="4" s="1"/>
  <c r="P14" i="4" s="1"/>
  <c r="Q14" i="4" s="1"/>
  <c r="E14" i="7"/>
  <c r="H68" i="3"/>
  <c r="F27" i="6"/>
  <c r="F30" i="6" s="1"/>
  <c r="E27" i="9"/>
  <c r="I22" i="4"/>
  <c r="J22" i="4" s="1"/>
  <c r="K22" i="4" s="1"/>
  <c r="L22" i="4" s="1"/>
  <c r="M22" i="4" s="1"/>
  <c r="N22" i="4" s="1"/>
  <c r="O22" i="4" s="1"/>
  <c r="P22" i="4" s="1"/>
  <c r="Q22" i="4" s="1"/>
  <c r="R68" i="3"/>
  <c r="L68" i="3"/>
  <c r="H17" i="4"/>
  <c r="AG68" i="3"/>
  <c r="Q68" i="3"/>
  <c r="AM68" i="3"/>
  <c r="F68" i="3"/>
  <c r="K68" i="3"/>
  <c r="I68" i="3"/>
  <c r="I21" i="4"/>
  <c r="J21" i="4" s="1"/>
  <c r="K21" i="4" s="1"/>
  <c r="L21" i="4" s="1"/>
  <c r="M21" i="4" s="1"/>
  <c r="N21" i="4" s="1"/>
  <c r="O21" i="4" s="1"/>
  <c r="P21" i="4" s="1"/>
  <c r="Q21" i="4" s="1"/>
  <c r="T68" i="3"/>
  <c r="M68" i="3"/>
  <c r="I24" i="4"/>
  <c r="J24" i="4" s="1"/>
  <c r="K24" i="4" s="1"/>
  <c r="L24" i="4" s="1"/>
  <c r="M24" i="4" s="1"/>
  <c r="N24" i="4" s="1"/>
  <c r="O24" i="4" s="1"/>
  <c r="P24" i="4" s="1"/>
  <c r="Q24" i="4" s="1"/>
  <c r="E6" i="6"/>
  <c r="E8" i="6" s="1"/>
  <c r="E9" i="5"/>
  <c r="G68" i="3"/>
  <c r="X68" i="3"/>
  <c r="F13" i="6"/>
  <c r="F16" i="6" s="1"/>
  <c r="F17" i="6" s="1"/>
  <c r="E25" i="9"/>
  <c r="I23" i="4"/>
  <c r="J23" i="4" s="1"/>
  <c r="K23" i="4" s="1"/>
  <c r="L23" i="4" s="1"/>
  <c r="M23" i="4" s="1"/>
  <c r="N23" i="4" s="1"/>
  <c r="O23" i="4" s="1"/>
  <c r="P23" i="4" s="1"/>
  <c r="Q23" i="4" s="1"/>
  <c r="E29" i="9"/>
  <c r="F29" i="9" s="1"/>
  <c r="G29" i="9" s="1"/>
  <c r="E13" i="10"/>
  <c r="AH68" i="3"/>
  <c r="U68" i="3"/>
  <c r="AJ68" i="3"/>
  <c r="I20" i="4"/>
  <c r="J20" i="4" s="1"/>
  <c r="K20" i="4" s="1"/>
  <c r="L20" i="4" s="1"/>
  <c r="M20" i="4" s="1"/>
  <c r="N20" i="4" s="1"/>
  <c r="O20" i="4" s="1"/>
  <c r="P20" i="4" s="1"/>
  <c r="Q20" i="4" s="1"/>
  <c r="F31" i="6"/>
  <c r="H35" i="3"/>
  <c r="G38" i="3"/>
  <c r="F27" i="3"/>
  <c r="G24" i="3"/>
  <c r="H5" i="3"/>
  <c r="H6" i="3" s="1"/>
  <c r="E6" i="3"/>
  <c r="E13" i="3"/>
  <c r="E10" i="3"/>
  <c r="E14" i="3"/>
  <c r="E11" i="3"/>
  <c r="F6" i="3"/>
  <c r="F14" i="3"/>
  <c r="F13" i="3"/>
  <c r="F10" i="3"/>
  <c r="F11" i="3"/>
  <c r="F51" i="3" s="1"/>
  <c r="I3" i="3"/>
  <c r="J5" i="3" s="1"/>
  <c r="G4" i="3"/>
  <c r="F23" i="6" l="1"/>
  <c r="F24" i="6" s="1"/>
  <c r="E26" i="9"/>
  <c r="E20" i="7"/>
  <c r="R20" i="4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E22" i="7"/>
  <c r="R23" i="4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F23" i="7"/>
  <c r="R22" i="4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F22" i="7"/>
  <c r="R24" i="4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G13" i="6"/>
  <c r="F25" i="9"/>
  <c r="E12" i="10"/>
  <c r="E14" i="10" s="1"/>
  <c r="E13" i="5"/>
  <c r="E21" i="7"/>
  <c r="R21" i="4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F21" i="7"/>
  <c r="I17" i="4"/>
  <c r="E9" i="6"/>
  <c r="E30" i="7"/>
  <c r="E6" i="10" s="1"/>
  <c r="G27" i="6"/>
  <c r="G30" i="6" s="1"/>
  <c r="F27" i="9"/>
  <c r="E23" i="7"/>
  <c r="E24" i="7"/>
  <c r="R14" i="4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G16" i="6"/>
  <c r="G17" i="6" s="1"/>
  <c r="G25" i="9" s="1"/>
  <c r="E60" i="3"/>
  <c r="E61" i="3"/>
  <c r="E59" i="3"/>
  <c r="F61" i="3"/>
  <c r="F60" i="3"/>
  <c r="F59" i="3"/>
  <c r="F53" i="3"/>
  <c r="F52" i="3"/>
  <c r="F54" i="3" s="1"/>
  <c r="E51" i="3"/>
  <c r="E53" i="3"/>
  <c r="E52" i="3"/>
  <c r="F47" i="3"/>
  <c r="F45" i="3"/>
  <c r="F46" i="3"/>
  <c r="E46" i="3"/>
  <c r="E45" i="3"/>
  <c r="E47" i="3"/>
  <c r="E73" i="3" s="1"/>
  <c r="E7" i="4" s="1"/>
  <c r="E13" i="4" s="1"/>
  <c r="I35" i="3"/>
  <c r="H38" i="3"/>
  <c r="H24" i="3"/>
  <c r="G27" i="3"/>
  <c r="J6" i="3"/>
  <c r="G5" i="3"/>
  <c r="K3" i="3"/>
  <c r="I4" i="3"/>
  <c r="G20" i="6" l="1"/>
  <c r="F26" i="9"/>
  <c r="E72" i="3"/>
  <c r="E6" i="4" s="1"/>
  <c r="E12" i="4" s="1"/>
  <c r="F62" i="3"/>
  <c r="F14" i="7"/>
  <c r="F20" i="7"/>
  <c r="E71" i="3"/>
  <c r="E5" i="4" s="1"/>
  <c r="E62" i="3"/>
  <c r="G31" i="6"/>
  <c r="G27" i="9" s="1"/>
  <c r="AD22" i="4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G22" i="7"/>
  <c r="AD24" i="4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E16" i="5"/>
  <c r="E17" i="5"/>
  <c r="AD21" i="4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F73" i="3"/>
  <c r="F7" i="4" s="1"/>
  <c r="F13" i="4" s="1"/>
  <c r="AD14" i="4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G14" i="7"/>
  <c r="AD23" i="4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G23" i="7"/>
  <c r="E74" i="3"/>
  <c r="F72" i="3"/>
  <c r="F6" i="4" s="1"/>
  <c r="F12" i="4" s="1"/>
  <c r="F48" i="3"/>
  <c r="F71" i="3"/>
  <c r="F5" i="6"/>
  <c r="E24" i="9"/>
  <c r="J17" i="4"/>
  <c r="F24" i="7"/>
  <c r="AD20" i="4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G20" i="7"/>
  <c r="E54" i="3"/>
  <c r="E48" i="3"/>
  <c r="J35" i="3"/>
  <c r="I38" i="3"/>
  <c r="I24" i="3"/>
  <c r="H27" i="3"/>
  <c r="M3" i="3"/>
  <c r="K4" i="3"/>
  <c r="K5" i="3" s="1"/>
  <c r="L5" i="3"/>
  <c r="G10" i="3"/>
  <c r="G14" i="3"/>
  <c r="H14" i="3" s="1"/>
  <c r="G13" i="3"/>
  <c r="G11" i="3"/>
  <c r="G6" i="3"/>
  <c r="I5" i="3"/>
  <c r="I6" i="3" s="1"/>
  <c r="G24" i="7" l="1"/>
  <c r="G23" i="6"/>
  <c r="G24" i="6"/>
  <c r="G26" i="9" s="1"/>
  <c r="E8" i="4"/>
  <c r="E11" i="4"/>
  <c r="E15" i="4" s="1"/>
  <c r="K17" i="4"/>
  <c r="L17" i="4" s="1"/>
  <c r="M17" i="4" s="1"/>
  <c r="E6" i="9"/>
  <c r="E17" i="10"/>
  <c r="E18" i="10" s="1"/>
  <c r="E19" i="5"/>
  <c r="F8" i="6"/>
  <c r="F30" i="7" s="1"/>
  <c r="F6" i="10" s="1"/>
  <c r="F5" i="4"/>
  <c r="F74" i="3"/>
  <c r="G21" i="7"/>
  <c r="H13" i="3"/>
  <c r="G59" i="3"/>
  <c r="G60" i="3"/>
  <c r="G61" i="3"/>
  <c r="H11" i="3"/>
  <c r="I11" i="3" s="1"/>
  <c r="I51" i="3" s="1"/>
  <c r="G53" i="3"/>
  <c r="G52" i="3"/>
  <c r="G51" i="3"/>
  <c r="G46" i="3"/>
  <c r="G47" i="3"/>
  <c r="G73" i="3" s="1"/>
  <c r="G7" i="4" s="1"/>
  <c r="G13" i="4" s="1"/>
  <c r="G45" i="3"/>
  <c r="H10" i="3"/>
  <c r="K35" i="3"/>
  <c r="J38" i="3"/>
  <c r="J24" i="3"/>
  <c r="I27" i="3"/>
  <c r="I14" i="3"/>
  <c r="J14" i="3" s="1"/>
  <c r="K14" i="3" s="1"/>
  <c r="L14" i="3" s="1"/>
  <c r="L6" i="3"/>
  <c r="K6" i="3"/>
  <c r="I13" i="3"/>
  <c r="O3" i="3"/>
  <c r="M4" i="3"/>
  <c r="N5" i="3"/>
  <c r="N6" i="3" s="1"/>
  <c r="G62" i="3" l="1"/>
  <c r="G72" i="3"/>
  <c r="G6" i="4" s="1"/>
  <c r="G54" i="3"/>
  <c r="G12" i="4"/>
  <c r="F11" i="4"/>
  <c r="F15" i="4" s="1"/>
  <c r="F8" i="4"/>
  <c r="N17" i="4"/>
  <c r="F6" i="9"/>
  <c r="G48" i="3"/>
  <c r="G71" i="3"/>
  <c r="F9" i="6"/>
  <c r="E18" i="4"/>
  <c r="E26" i="4"/>
  <c r="E19" i="4"/>
  <c r="E25" i="4"/>
  <c r="J13" i="3"/>
  <c r="I61" i="3"/>
  <c r="I60" i="3"/>
  <c r="I59" i="3"/>
  <c r="I62" i="3" s="1"/>
  <c r="H59" i="3"/>
  <c r="H61" i="3"/>
  <c r="H60" i="3"/>
  <c r="J11" i="3"/>
  <c r="I52" i="3"/>
  <c r="I53" i="3"/>
  <c r="H53" i="3"/>
  <c r="H52" i="3"/>
  <c r="H51" i="3"/>
  <c r="H54" i="3" s="1"/>
  <c r="I10" i="3"/>
  <c r="J10" i="3" s="1"/>
  <c r="H47" i="3"/>
  <c r="H73" i="3" s="1"/>
  <c r="H7" i="4" s="1"/>
  <c r="H46" i="3"/>
  <c r="H72" i="3" s="1"/>
  <c r="H6" i="4" s="1"/>
  <c r="H45" i="3"/>
  <c r="L35" i="3"/>
  <c r="K38" i="3"/>
  <c r="K24" i="3"/>
  <c r="J27" i="3"/>
  <c r="M5" i="3"/>
  <c r="Q3" i="3"/>
  <c r="O4" i="3"/>
  <c r="P5" i="3"/>
  <c r="P6" i="3" s="1"/>
  <c r="H12" i="4" l="1"/>
  <c r="O17" i="4"/>
  <c r="F18" i="4"/>
  <c r="F19" i="4"/>
  <c r="F26" i="4"/>
  <c r="F25" i="4"/>
  <c r="H13" i="4"/>
  <c r="G5" i="6"/>
  <c r="G8" i="6" s="1"/>
  <c r="F24" i="9"/>
  <c r="H62" i="3"/>
  <c r="G5" i="4"/>
  <c r="G74" i="3"/>
  <c r="G6" i="9"/>
  <c r="E27" i="4"/>
  <c r="E29" i="4" s="1"/>
  <c r="E31" i="4" s="1"/>
  <c r="H71" i="3"/>
  <c r="I54" i="3"/>
  <c r="H48" i="3"/>
  <c r="K13" i="3"/>
  <c r="J61" i="3"/>
  <c r="J59" i="3"/>
  <c r="J60" i="3"/>
  <c r="K11" i="3"/>
  <c r="J52" i="3"/>
  <c r="J53" i="3"/>
  <c r="J51" i="3"/>
  <c r="J46" i="3"/>
  <c r="J47" i="3"/>
  <c r="J45" i="3"/>
  <c r="J71" i="3" s="1"/>
  <c r="I46" i="3"/>
  <c r="I72" i="3" s="1"/>
  <c r="I6" i="4" s="1"/>
  <c r="I12" i="4" s="1"/>
  <c r="I45" i="3"/>
  <c r="I71" i="3" s="1"/>
  <c r="I47" i="3"/>
  <c r="I73" i="3" s="1"/>
  <c r="I7" i="4" s="1"/>
  <c r="I13" i="4" s="1"/>
  <c r="K10" i="3"/>
  <c r="M35" i="3"/>
  <c r="L38" i="3"/>
  <c r="L24" i="3"/>
  <c r="K27" i="3"/>
  <c r="O5" i="3"/>
  <c r="O6" i="3" s="1"/>
  <c r="S3" i="3"/>
  <c r="Q4" i="3"/>
  <c r="R5" i="3"/>
  <c r="R6" i="3" s="1"/>
  <c r="M14" i="3"/>
  <c r="N14" i="3" s="1"/>
  <c r="M6" i="3"/>
  <c r="F27" i="4" l="1"/>
  <c r="F29" i="4" s="1"/>
  <c r="F31" i="4" s="1"/>
  <c r="J72" i="3"/>
  <c r="J6" i="4" s="1"/>
  <c r="J12" i="4" s="1"/>
  <c r="G11" i="4"/>
  <c r="G15" i="4" s="1"/>
  <c r="G8" i="4"/>
  <c r="J54" i="3"/>
  <c r="H74" i="3"/>
  <c r="H5" i="4"/>
  <c r="I5" i="4"/>
  <c r="I74" i="3"/>
  <c r="P17" i="4"/>
  <c r="G9" i="6"/>
  <c r="G24" i="9" s="1"/>
  <c r="G30" i="7"/>
  <c r="G6" i="10" s="1"/>
  <c r="J5" i="4"/>
  <c r="J62" i="3"/>
  <c r="J73" i="3"/>
  <c r="J7" i="4" s="1"/>
  <c r="J13" i="4" s="1"/>
  <c r="L13" i="3"/>
  <c r="K60" i="3"/>
  <c r="K59" i="3"/>
  <c r="K61" i="3"/>
  <c r="J48" i="3"/>
  <c r="L11" i="3"/>
  <c r="K53" i="3"/>
  <c r="K52" i="3"/>
  <c r="K51" i="3"/>
  <c r="I48" i="3"/>
  <c r="K46" i="3"/>
  <c r="K47" i="3"/>
  <c r="K45" i="3"/>
  <c r="L10" i="3"/>
  <c r="N35" i="3"/>
  <c r="M38" i="3"/>
  <c r="M24" i="3"/>
  <c r="L27" i="3"/>
  <c r="O14" i="3"/>
  <c r="P14" i="3" s="1"/>
  <c r="U3" i="3"/>
  <c r="S4" i="3"/>
  <c r="S5" i="3" s="1"/>
  <c r="S6" i="3" s="1"/>
  <c r="T5" i="3"/>
  <c r="T6" i="3" s="1"/>
  <c r="Q5" i="3"/>
  <c r="K73" i="3" l="1"/>
  <c r="K7" i="4" s="1"/>
  <c r="K13" i="4" s="1"/>
  <c r="J74" i="3"/>
  <c r="K72" i="3"/>
  <c r="K6" i="4" s="1"/>
  <c r="K62" i="3"/>
  <c r="J8" i="4"/>
  <c r="J11" i="4"/>
  <c r="J15" i="4" s="1"/>
  <c r="H11" i="4"/>
  <c r="H8" i="4"/>
  <c r="I8" i="4"/>
  <c r="I11" i="4"/>
  <c r="I15" i="4" s="1"/>
  <c r="Q17" i="4"/>
  <c r="E17" i="7"/>
  <c r="G18" i="4"/>
  <c r="G19" i="4"/>
  <c r="G26" i="4"/>
  <c r="G25" i="4"/>
  <c r="K71" i="3"/>
  <c r="K54" i="3"/>
  <c r="L60" i="3"/>
  <c r="L59" i="3"/>
  <c r="L61" i="3"/>
  <c r="M13" i="3"/>
  <c r="L53" i="3"/>
  <c r="L52" i="3"/>
  <c r="M11" i="3"/>
  <c r="K48" i="3"/>
  <c r="L51" i="3"/>
  <c r="L45" i="3"/>
  <c r="L71" i="3" s="1"/>
  <c r="L47" i="3"/>
  <c r="L46" i="3"/>
  <c r="M10" i="3"/>
  <c r="O35" i="3"/>
  <c r="N38" i="3"/>
  <c r="N24" i="3"/>
  <c r="M27" i="3"/>
  <c r="Q14" i="3"/>
  <c r="R14" i="3" s="1"/>
  <c r="S14" i="3" s="1"/>
  <c r="T14" i="3" s="1"/>
  <c r="Q6" i="3"/>
  <c r="W3" i="3"/>
  <c r="U4" i="3"/>
  <c r="V5" i="3"/>
  <c r="V6" i="3" s="1"/>
  <c r="L73" i="3" l="1"/>
  <c r="L7" i="4" s="1"/>
  <c r="L13" i="4" s="1"/>
  <c r="G27" i="4"/>
  <c r="G29" i="4" s="1"/>
  <c r="G31" i="4" s="1"/>
  <c r="L5" i="4"/>
  <c r="L11" i="4" s="1"/>
  <c r="K5" i="4"/>
  <c r="K74" i="3"/>
  <c r="R17" i="4"/>
  <c r="S17" i="4" s="1"/>
  <c r="T17" i="4" s="1"/>
  <c r="U17" i="4" s="1"/>
  <c r="J26" i="4"/>
  <c r="J19" i="4"/>
  <c r="J18" i="4"/>
  <c r="J25" i="4"/>
  <c r="H19" i="4"/>
  <c r="H26" i="4"/>
  <c r="H18" i="4"/>
  <c r="H25" i="4"/>
  <c r="L62" i="3"/>
  <c r="H15" i="4"/>
  <c r="L72" i="3"/>
  <c r="L6" i="4" s="1"/>
  <c r="I26" i="4"/>
  <c r="I18" i="4"/>
  <c r="I19" i="4"/>
  <c r="I25" i="4"/>
  <c r="K12" i="4"/>
  <c r="N13" i="3"/>
  <c r="M60" i="3"/>
  <c r="M61" i="3"/>
  <c r="M59" i="3"/>
  <c r="L54" i="3"/>
  <c r="N11" i="3"/>
  <c r="M52" i="3"/>
  <c r="M53" i="3"/>
  <c r="M51" i="3"/>
  <c r="M54" i="3" s="1"/>
  <c r="L48" i="3"/>
  <c r="M45" i="3"/>
  <c r="M47" i="3"/>
  <c r="M46" i="3"/>
  <c r="N10" i="3"/>
  <c r="P35" i="3"/>
  <c r="O38" i="3"/>
  <c r="O24" i="3"/>
  <c r="N27" i="3"/>
  <c r="U5" i="3"/>
  <c r="Y3" i="3"/>
  <c r="W4" i="3"/>
  <c r="X5" i="3"/>
  <c r="X6" i="3" s="1"/>
  <c r="J27" i="4" l="1"/>
  <c r="J29" i="4" s="1"/>
  <c r="J31" i="4" s="1"/>
  <c r="M72" i="3"/>
  <c r="M6" i="4" s="1"/>
  <c r="V17" i="4"/>
  <c r="K11" i="4"/>
  <c r="K8" i="4"/>
  <c r="M12" i="4"/>
  <c r="M73" i="3"/>
  <c r="M7" i="4" s="1"/>
  <c r="M62" i="3"/>
  <c r="I27" i="4"/>
  <c r="I29" i="4" s="1"/>
  <c r="I31" i="4" s="1"/>
  <c r="H27" i="4"/>
  <c r="L74" i="3"/>
  <c r="L8" i="4"/>
  <c r="L12" i="4"/>
  <c r="L15" i="4" s="1"/>
  <c r="M71" i="3"/>
  <c r="N61" i="3"/>
  <c r="N60" i="3"/>
  <c r="N59" i="3"/>
  <c r="O13" i="3"/>
  <c r="N53" i="3"/>
  <c r="N52" i="3"/>
  <c r="O11" i="3"/>
  <c r="N51" i="3"/>
  <c r="M48" i="3"/>
  <c r="N47" i="3"/>
  <c r="N73" i="3" s="1"/>
  <c r="N7" i="4" s="1"/>
  <c r="N13" i="4" s="1"/>
  <c r="N46" i="3"/>
  <c r="N45" i="3"/>
  <c r="O10" i="3"/>
  <c r="Q35" i="3"/>
  <c r="P38" i="3"/>
  <c r="P24" i="3"/>
  <c r="O27" i="3"/>
  <c r="AA3" i="3"/>
  <c r="Y4" i="3"/>
  <c r="Z5" i="3"/>
  <c r="Z6" i="3" s="1"/>
  <c r="U14" i="3"/>
  <c r="V14" i="3" s="1"/>
  <c r="W5" i="3"/>
  <c r="U6" i="3"/>
  <c r="N72" i="3" l="1"/>
  <c r="N6" i="4" s="1"/>
  <c r="N62" i="3"/>
  <c r="N12" i="4"/>
  <c r="K26" i="4"/>
  <c r="K18" i="4"/>
  <c r="K19" i="4"/>
  <c r="K25" i="4"/>
  <c r="K15" i="4"/>
  <c r="H29" i="4"/>
  <c r="M74" i="3"/>
  <c r="M5" i="4"/>
  <c r="M13" i="4"/>
  <c r="W17" i="4"/>
  <c r="N71" i="3"/>
  <c r="L19" i="4"/>
  <c r="L26" i="4"/>
  <c r="L18" i="4"/>
  <c r="L25" i="4"/>
  <c r="P13" i="3"/>
  <c r="O59" i="3"/>
  <c r="O60" i="3"/>
  <c r="O61" i="3"/>
  <c r="N54" i="3"/>
  <c r="P11" i="3"/>
  <c r="O52" i="3"/>
  <c r="O53" i="3"/>
  <c r="N48" i="3"/>
  <c r="O51" i="3"/>
  <c r="O46" i="3"/>
  <c r="O72" i="3" s="1"/>
  <c r="O6" i="4" s="1"/>
  <c r="O45" i="3"/>
  <c r="O71" i="3" s="1"/>
  <c r="O47" i="3"/>
  <c r="P10" i="3"/>
  <c r="R35" i="3"/>
  <c r="Q38" i="3"/>
  <c r="Q24" i="3"/>
  <c r="P27" i="3"/>
  <c r="W14" i="3"/>
  <c r="X14" i="3" s="1"/>
  <c r="W6" i="3"/>
  <c r="Y5" i="3"/>
  <c r="AC3" i="3"/>
  <c r="AA4" i="3"/>
  <c r="AB5" i="3"/>
  <c r="AB6" i="3" s="1"/>
  <c r="O73" i="3" l="1"/>
  <c r="O7" i="4" s="1"/>
  <c r="O13" i="4" s="1"/>
  <c r="M11" i="4"/>
  <c r="M8" i="4"/>
  <c r="H31" i="4"/>
  <c r="O62" i="3"/>
  <c r="K27" i="4"/>
  <c r="O12" i="4"/>
  <c r="X17" i="4"/>
  <c r="L27" i="4"/>
  <c r="L29" i="4" s="1"/>
  <c r="L31" i="4" s="1"/>
  <c r="O5" i="4"/>
  <c r="O11" i="4" s="1"/>
  <c r="O74" i="3"/>
  <c r="N5" i="4"/>
  <c r="N74" i="3"/>
  <c r="O54" i="3"/>
  <c r="P61" i="3"/>
  <c r="P60" i="3"/>
  <c r="P59" i="3"/>
  <c r="Q13" i="3"/>
  <c r="P53" i="3"/>
  <c r="P52" i="3"/>
  <c r="Q11" i="3"/>
  <c r="P51" i="3"/>
  <c r="O48" i="3"/>
  <c r="P46" i="3"/>
  <c r="P72" i="3" s="1"/>
  <c r="P6" i="4" s="1"/>
  <c r="P12" i="4" s="1"/>
  <c r="P45" i="3"/>
  <c r="P47" i="3"/>
  <c r="Q10" i="3"/>
  <c r="S35" i="3"/>
  <c r="R38" i="3"/>
  <c r="R24" i="3"/>
  <c r="Q27" i="3"/>
  <c r="Y14" i="3"/>
  <c r="Z14" i="3" s="1"/>
  <c r="AE3" i="3"/>
  <c r="AC4" i="3"/>
  <c r="AD5" i="3"/>
  <c r="AD6" i="3" s="1"/>
  <c r="AA5" i="3"/>
  <c r="Y6" i="3"/>
  <c r="P71" i="3" l="1"/>
  <c r="P73" i="3"/>
  <c r="P7" i="4" s="1"/>
  <c r="P13" i="4" s="1"/>
  <c r="P5" i="4"/>
  <c r="P62" i="3"/>
  <c r="N11" i="4"/>
  <c r="N15" i="4" s="1"/>
  <c r="N8" i="4"/>
  <c r="O15" i="4"/>
  <c r="Y17" i="4"/>
  <c r="O8" i="4"/>
  <c r="E7" i="8"/>
  <c r="E34" i="9" s="1"/>
  <c r="E14" i="8"/>
  <c r="E14" i="9" s="1"/>
  <c r="K29" i="4"/>
  <c r="M26" i="4"/>
  <c r="M19" i="4"/>
  <c r="M18" i="4"/>
  <c r="M25" i="4"/>
  <c r="M15" i="4"/>
  <c r="R13" i="3"/>
  <c r="Q60" i="3"/>
  <c r="Q61" i="3"/>
  <c r="Q59" i="3"/>
  <c r="P54" i="3"/>
  <c r="R11" i="3"/>
  <c r="Q52" i="3"/>
  <c r="Q53" i="3"/>
  <c r="Q51" i="3"/>
  <c r="Q54" i="3" s="1"/>
  <c r="P48" i="3"/>
  <c r="Q47" i="3"/>
  <c r="Q46" i="3"/>
  <c r="Q45" i="3"/>
  <c r="R10" i="3"/>
  <c r="T35" i="3"/>
  <c r="S38" i="3"/>
  <c r="S24" i="3"/>
  <c r="R27" i="3"/>
  <c r="AA14" i="3"/>
  <c r="AB14" i="3" s="1"/>
  <c r="AA6" i="3"/>
  <c r="AC5" i="3"/>
  <c r="AC6" i="3" s="1"/>
  <c r="AG3" i="3"/>
  <c r="AE4" i="3"/>
  <c r="AF5" i="3"/>
  <c r="AF6" i="3" s="1"/>
  <c r="Q71" i="3" l="1"/>
  <c r="E15" i="8"/>
  <c r="E15" i="9" s="1"/>
  <c r="E8" i="8"/>
  <c r="E35" i="9" s="1"/>
  <c r="Z17" i="4"/>
  <c r="E11" i="7"/>
  <c r="K31" i="4"/>
  <c r="N18" i="4"/>
  <c r="N26" i="4"/>
  <c r="N19" i="4"/>
  <c r="N25" i="4"/>
  <c r="Q5" i="4"/>
  <c r="P11" i="4"/>
  <c r="P8" i="4"/>
  <c r="E5" i="7"/>
  <c r="Q72" i="3"/>
  <c r="Q6" i="4" s="1"/>
  <c r="Q62" i="3"/>
  <c r="Q73" i="3"/>
  <c r="Q7" i="4" s="1"/>
  <c r="M27" i="4"/>
  <c r="O18" i="4"/>
  <c r="O26" i="4"/>
  <c r="O19" i="4"/>
  <c r="O25" i="4"/>
  <c r="P74" i="3"/>
  <c r="S13" i="3"/>
  <c r="R61" i="3"/>
  <c r="R60" i="3"/>
  <c r="R59" i="3"/>
  <c r="R62" i="3" s="1"/>
  <c r="S11" i="3"/>
  <c r="R53" i="3"/>
  <c r="R52" i="3"/>
  <c r="Q48" i="3"/>
  <c r="R51" i="3"/>
  <c r="R47" i="3"/>
  <c r="R46" i="3"/>
  <c r="R45" i="3"/>
  <c r="S10" i="3"/>
  <c r="U35" i="3"/>
  <c r="T38" i="3"/>
  <c r="T24" i="3"/>
  <c r="S27" i="3"/>
  <c r="AC14" i="3"/>
  <c r="AD14" i="3" s="1"/>
  <c r="AI3" i="3"/>
  <c r="AG4" i="3"/>
  <c r="AH5" i="3"/>
  <c r="AH6" i="3" s="1"/>
  <c r="AE5" i="3"/>
  <c r="Q74" i="3" l="1"/>
  <c r="R73" i="3"/>
  <c r="R7" i="4" s="1"/>
  <c r="R13" i="4" s="1"/>
  <c r="R54" i="3"/>
  <c r="M29" i="4"/>
  <c r="R71" i="3"/>
  <c r="Q12" i="4"/>
  <c r="AA17" i="4"/>
  <c r="AB17" i="4" s="1"/>
  <c r="AC17" i="4" s="1"/>
  <c r="F17" i="7"/>
  <c r="O27" i="4"/>
  <c r="O29" i="4" s="1"/>
  <c r="O31" i="4" s="1"/>
  <c r="R72" i="3"/>
  <c r="R6" i="4" s="1"/>
  <c r="R12" i="4" s="1"/>
  <c r="P19" i="4"/>
  <c r="P26" i="4"/>
  <c r="P18" i="4"/>
  <c r="P25" i="4"/>
  <c r="E8" i="7"/>
  <c r="Q13" i="4"/>
  <c r="Q8" i="4"/>
  <c r="Q11" i="4"/>
  <c r="E18" i="7"/>
  <c r="P15" i="4"/>
  <c r="E6" i="8"/>
  <c r="E13" i="8"/>
  <c r="E13" i="9" s="1"/>
  <c r="N27" i="4"/>
  <c r="N29" i="4" s="1"/>
  <c r="N31" i="4" s="1"/>
  <c r="T13" i="3"/>
  <c r="S60" i="3"/>
  <c r="S59" i="3"/>
  <c r="S61" i="3"/>
  <c r="T11" i="3"/>
  <c r="S52" i="3"/>
  <c r="S53" i="3"/>
  <c r="R48" i="3"/>
  <c r="S51" i="3"/>
  <c r="S46" i="3"/>
  <c r="S45" i="3"/>
  <c r="S47" i="3"/>
  <c r="T10" i="3"/>
  <c r="V35" i="3"/>
  <c r="U38" i="3"/>
  <c r="U24" i="3"/>
  <c r="T27" i="3"/>
  <c r="AE14" i="3"/>
  <c r="AF14" i="3" s="1"/>
  <c r="AK3" i="3"/>
  <c r="AI4" i="3"/>
  <c r="AJ5" i="3"/>
  <c r="AJ6" i="3" s="1"/>
  <c r="AE6" i="3"/>
  <c r="AG5" i="3"/>
  <c r="AD17" i="4" l="1"/>
  <c r="S62" i="3"/>
  <c r="P27" i="4"/>
  <c r="S71" i="3"/>
  <c r="S72" i="3"/>
  <c r="S6" i="4" s="1"/>
  <c r="R5" i="4"/>
  <c r="R74" i="3"/>
  <c r="S73" i="3"/>
  <c r="S7" i="4" s="1"/>
  <c r="Q15" i="4"/>
  <c r="Q18" i="4"/>
  <c r="Q19" i="4"/>
  <c r="Q26" i="4"/>
  <c r="Q25" i="4"/>
  <c r="M31" i="4"/>
  <c r="E9" i="8"/>
  <c r="E33" i="9"/>
  <c r="E27" i="7"/>
  <c r="S54" i="3"/>
  <c r="T59" i="3"/>
  <c r="T60" i="3"/>
  <c r="T61" i="3"/>
  <c r="U13" i="3"/>
  <c r="T53" i="3"/>
  <c r="T52" i="3"/>
  <c r="U11" i="3"/>
  <c r="U51" i="3" s="1"/>
  <c r="T51" i="3"/>
  <c r="S48" i="3"/>
  <c r="T47" i="3"/>
  <c r="T46" i="3"/>
  <c r="T45" i="3"/>
  <c r="T71" i="3" s="1"/>
  <c r="U10" i="3"/>
  <c r="W35" i="3"/>
  <c r="V38" i="3"/>
  <c r="V24" i="3"/>
  <c r="U27" i="3"/>
  <c r="AM3" i="3"/>
  <c r="AK4" i="3"/>
  <c r="AL5" i="3"/>
  <c r="AL6" i="3" s="1"/>
  <c r="AG6" i="3"/>
  <c r="AG14" i="3"/>
  <c r="AH14" i="3" s="1"/>
  <c r="AI5" i="3"/>
  <c r="T72" i="3" l="1"/>
  <c r="T6" i="4" s="1"/>
  <c r="Q27" i="4"/>
  <c r="S5" i="4"/>
  <c r="S74" i="3"/>
  <c r="R8" i="4"/>
  <c r="R11" i="4"/>
  <c r="S12" i="4"/>
  <c r="T5" i="4"/>
  <c r="T11" i="4" s="1"/>
  <c r="E11" i="8"/>
  <c r="P29" i="4"/>
  <c r="AE17" i="4"/>
  <c r="T73" i="3"/>
  <c r="T7" i="4" s="1"/>
  <c r="T13" i="4" s="1"/>
  <c r="S13" i="4"/>
  <c r="T12" i="4"/>
  <c r="T62" i="3"/>
  <c r="V13" i="3"/>
  <c r="U61" i="3"/>
  <c r="U59" i="3"/>
  <c r="U60" i="3"/>
  <c r="T54" i="3"/>
  <c r="V11" i="3"/>
  <c r="V51" i="3" s="1"/>
  <c r="U52" i="3"/>
  <c r="U53" i="3"/>
  <c r="U54" i="3" s="1"/>
  <c r="T48" i="3"/>
  <c r="U45" i="3"/>
  <c r="U71" i="3" s="1"/>
  <c r="U47" i="3"/>
  <c r="U46" i="3"/>
  <c r="V10" i="3"/>
  <c r="X35" i="3"/>
  <c r="W38" i="3"/>
  <c r="W24" i="3"/>
  <c r="V27" i="3"/>
  <c r="AI14" i="3"/>
  <c r="AJ14" i="3" s="1"/>
  <c r="AM4" i="3"/>
  <c r="AN5" i="3"/>
  <c r="AN6" i="3" s="1"/>
  <c r="AI6" i="3"/>
  <c r="AK5" i="3"/>
  <c r="U72" i="3" l="1"/>
  <c r="U6" i="4" s="1"/>
  <c r="T8" i="4"/>
  <c r="AF17" i="4"/>
  <c r="R15" i="4"/>
  <c r="U73" i="3"/>
  <c r="U7" i="4" s="1"/>
  <c r="U13" i="4" s="1"/>
  <c r="U62" i="3"/>
  <c r="P31" i="4"/>
  <c r="E29" i="7"/>
  <c r="E31" i="7" s="1"/>
  <c r="E33" i="7" s="1"/>
  <c r="E35" i="7" s="1"/>
  <c r="R26" i="4"/>
  <c r="R18" i="4"/>
  <c r="R19" i="4"/>
  <c r="R25" i="4"/>
  <c r="E11" i="9"/>
  <c r="E17" i="9" s="1"/>
  <c r="E16" i="8"/>
  <c r="E18" i="8" s="1"/>
  <c r="S11" i="4"/>
  <c r="S15" i="4" s="1"/>
  <c r="S8" i="4"/>
  <c r="T74" i="3"/>
  <c r="T15" i="4"/>
  <c r="U5" i="4"/>
  <c r="Q29" i="4"/>
  <c r="V61" i="3"/>
  <c r="V60" i="3"/>
  <c r="V59" i="3"/>
  <c r="W13" i="3"/>
  <c r="V53" i="3"/>
  <c r="V52" i="3"/>
  <c r="W11" i="3"/>
  <c r="U48" i="3"/>
  <c r="V46" i="3"/>
  <c r="V47" i="3"/>
  <c r="V73" i="3" s="1"/>
  <c r="V7" i="4" s="1"/>
  <c r="V13" i="4" s="1"/>
  <c r="V45" i="3"/>
  <c r="V71" i="3" s="1"/>
  <c r="W10" i="3"/>
  <c r="Y35" i="3"/>
  <c r="X38" i="3"/>
  <c r="X24" i="3"/>
  <c r="W27" i="3"/>
  <c r="AK6" i="3"/>
  <c r="AM5" i="3"/>
  <c r="AK14" i="3"/>
  <c r="AL14" i="3" s="1"/>
  <c r="V62" i="3" l="1"/>
  <c r="V72" i="3"/>
  <c r="V6" i="4" s="1"/>
  <c r="V12" i="4" s="1"/>
  <c r="R27" i="4"/>
  <c r="V5" i="4"/>
  <c r="V74" i="3"/>
  <c r="Q31" i="4"/>
  <c r="E19" i="8"/>
  <c r="E8" i="10" s="1"/>
  <c r="E7" i="9"/>
  <c r="E5" i="10"/>
  <c r="E7" i="10" s="1"/>
  <c r="E37" i="7"/>
  <c r="AG17" i="4"/>
  <c r="S26" i="4"/>
  <c r="S18" i="4"/>
  <c r="S19" i="4"/>
  <c r="S25" i="4"/>
  <c r="V54" i="3"/>
  <c r="T18" i="4"/>
  <c r="T26" i="4"/>
  <c r="T19" i="4"/>
  <c r="T25" i="4"/>
  <c r="U8" i="4"/>
  <c r="U12" i="4"/>
  <c r="U11" i="4"/>
  <c r="U74" i="3"/>
  <c r="X13" i="3"/>
  <c r="W59" i="3"/>
  <c r="W60" i="3"/>
  <c r="W61" i="3"/>
  <c r="X11" i="3"/>
  <c r="X51" i="3" s="1"/>
  <c r="W52" i="3"/>
  <c r="W53" i="3"/>
  <c r="W51" i="3"/>
  <c r="V48" i="3"/>
  <c r="W46" i="3"/>
  <c r="W45" i="3"/>
  <c r="W47" i="3"/>
  <c r="X10" i="3"/>
  <c r="AM14" i="3"/>
  <c r="AN14" i="3" s="1"/>
  <c r="Z35" i="3"/>
  <c r="Y38" i="3"/>
  <c r="Y24" i="3"/>
  <c r="X27" i="3"/>
  <c r="AM6" i="3"/>
  <c r="W72" i="3" l="1"/>
  <c r="W6" i="4" s="1"/>
  <c r="W12" i="4" s="1"/>
  <c r="W62" i="3"/>
  <c r="W54" i="3"/>
  <c r="V11" i="4"/>
  <c r="V8" i="4"/>
  <c r="U15" i="4"/>
  <c r="E8" i="9"/>
  <c r="E19" i="9" s="1"/>
  <c r="E9" i="10"/>
  <c r="E20" i="10" s="1"/>
  <c r="E22" i="10" s="1"/>
  <c r="R29" i="4"/>
  <c r="U26" i="4"/>
  <c r="U18" i="4"/>
  <c r="U19" i="4"/>
  <c r="U25" i="4"/>
  <c r="T27" i="4"/>
  <c r="T29" i="4" s="1"/>
  <c r="T31" i="4" s="1"/>
  <c r="S27" i="4"/>
  <c r="S29" i="4" s="1"/>
  <c r="S31" i="4" s="1"/>
  <c r="V15" i="4"/>
  <c r="AH17" i="4"/>
  <c r="AI17" i="4" s="1"/>
  <c r="AJ17" i="4" s="1"/>
  <c r="AK17" i="4" s="1"/>
  <c r="AL17" i="4" s="1"/>
  <c r="W73" i="3"/>
  <c r="W7" i="4" s="1"/>
  <c r="W71" i="3"/>
  <c r="X59" i="3"/>
  <c r="X61" i="3"/>
  <c r="X60" i="3"/>
  <c r="Y13" i="3"/>
  <c r="X52" i="3"/>
  <c r="X53" i="3"/>
  <c r="Y11" i="3"/>
  <c r="W48" i="3"/>
  <c r="X46" i="3"/>
  <c r="X45" i="3"/>
  <c r="X47" i="3"/>
  <c r="Y10" i="3"/>
  <c r="AA35" i="3"/>
  <c r="Z38" i="3"/>
  <c r="Z24" i="3"/>
  <c r="Y27" i="3"/>
  <c r="X54" i="3" l="1"/>
  <c r="X73" i="3"/>
  <c r="X7" i="4" s="1"/>
  <c r="X13" i="4" s="1"/>
  <c r="X71" i="3"/>
  <c r="R31" i="4"/>
  <c r="V18" i="4"/>
  <c r="V26" i="4"/>
  <c r="V19" i="4"/>
  <c r="V25" i="4"/>
  <c r="X72" i="3"/>
  <c r="X6" i="4" s="1"/>
  <c r="X62" i="3"/>
  <c r="F21" i="10"/>
  <c r="E36" i="9"/>
  <c r="E38" i="9" s="1"/>
  <c r="AM17" i="4"/>
  <c r="W74" i="3"/>
  <c r="W5" i="4"/>
  <c r="W13" i="4"/>
  <c r="U27" i="4"/>
  <c r="U29" i="4" s="1"/>
  <c r="U31" i="4" s="1"/>
  <c r="Z13" i="3"/>
  <c r="Y60" i="3"/>
  <c r="Y61" i="3"/>
  <c r="Y59" i="3"/>
  <c r="Z11" i="3"/>
  <c r="Y52" i="3"/>
  <c r="Y53" i="3"/>
  <c r="Y51" i="3"/>
  <c r="X48" i="3"/>
  <c r="Y47" i="3"/>
  <c r="Y46" i="3"/>
  <c r="Y45" i="3"/>
  <c r="Z10" i="3"/>
  <c r="AB35" i="3"/>
  <c r="AA38" i="3"/>
  <c r="AA24" i="3"/>
  <c r="Z27" i="3"/>
  <c r="Y72" i="3" l="1"/>
  <c r="Y6" i="4" s="1"/>
  <c r="Y12" i="4" s="1"/>
  <c r="AN17" i="4"/>
  <c r="G17" i="7"/>
  <c r="Y73" i="3"/>
  <c r="Y7" i="4" s="1"/>
  <c r="Y13" i="4" s="1"/>
  <c r="Y54" i="3"/>
  <c r="V27" i="4"/>
  <c r="W11" i="4"/>
  <c r="W8" i="4"/>
  <c r="X12" i="4"/>
  <c r="Y71" i="3"/>
  <c r="Y62" i="3"/>
  <c r="X74" i="3"/>
  <c r="X5" i="4"/>
  <c r="Z61" i="3"/>
  <c r="Z60" i="3"/>
  <c r="Z59" i="3"/>
  <c r="AA13" i="3"/>
  <c r="Z53" i="3"/>
  <c r="Z52" i="3"/>
  <c r="AA11" i="3"/>
  <c r="Y48" i="3"/>
  <c r="Z51" i="3"/>
  <c r="Z47" i="3"/>
  <c r="Z46" i="3"/>
  <c r="Z45" i="3"/>
  <c r="AA10" i="3"/>
  <c r="AC35" i="3"/>
  <c r="AB38" i="3"/>
  <c r="AB24" i="3"/>
  <c r="AA27" i="3"/>
  <c r="Z62" i="3" l="1"/>
  <c r="X11" i="4"/>
  <c r="X15" i="4" s="1"/>
  <c r="X8" i="4"/>
  <c r="W15" i="4"/>
  <c r="V29" i="4"/>
  <c r="Y5" i="4"/>
  <c r="Y74" i="3"/>
  <c r="Z71" i="3"/>
  <c r="Z73" i="3"/>
  <c r="Z7" i="4" s="1"/>
  <c r="Z13" i="4" s="1"/>
  <c r="Z72" i="3"/>
  <c r="Z6" i="4" s="1"/>
  <c r="Z12" i="4" s="1"/>
  <c r="W26" i="4"/>
  <c r="W19" i="4"/>
  <c r="W18" i="4"/>
  <c r="W25" i="4"/>
  <c r="AB13" i="3"/>
  <c r="AA60" i="3"/>
  <c r="AA59" i="3"/>
  <c r="AA62" i="3" s="1"/>
  <c r="AA61" i="3"/>
  <c r="Z54" i="3"/>
  <c r="AB11" i="3"/>
  <c r="AB51" i="3" s="1"/>
  <c r="AA52" i="3"/>
  <c r="AA53" i="3"/>
  <c r="Z48" i="3"/>
  <c r="AA51" i="3"/>
  <c r="AA46" i="3"/>
  <c r="AA72" i="3" s="1"/>
  <c r="AA6" i="4" s="1"/>
  <c r="AA12" i="4" s="1"/>
  <c r="AA45" i="3"/>
  <c r="AA47" i="3"/>
  <c r="AB10" i="3"/>
  <c r="AD35" i="3"/>
  <c r="AC38" i="3"/>
  <c r="AC24" i="3"/>
  <c r="AB27" i="3"/>
  <c r="W27" i="4" l="1"/>
  <c r="W29" i="4" s="1"/>
  <c r="W31" i="4" s="1"/>
  <c r="AA73" i="3"/>
  <c r="AA7" i="4" s="1"/>
  <c r="AA13" i="4" s="1"/>
  <c r="Y8" i="4"/>
  <c r="Y11" i="4"/>
  <c r="Y15" i="4" s="1"/>
  <c r="AA71" i="3"/>
  <c r="V31" i="4"/>
  <c r="X19" i="4"/>
  <c r="X26" i="4"/>
  <c r="X18" i="4"/>
  <c r="X25" i="4"/>
  <c r="Z5" i="4"/>
  <c r="Z74" i="3"/>
  <c r="AA54" i="3"/>
  <c r="AB59" i="3"/>
  <c r="AB61" i="3"/>
  <c r="AB60" i="3"/>
  <c r="AC13" i="3"/>
  <c r="AB53" i="3"/>
  <c r="AB52" i="3"/>
  <c r="AC11" i="3"/>
  <c r="AA48" i="3"/>
  <c r="AB47" i="3"/>
  <c r="AB46" i="3"/>
  <c r="AB45" i="3"/>
  <c r="AC10" i="3"/>
  <c r="AE35" i="3"/>
  <c r="AD38" i="3"/>
  <c r="AD24" i="3"/>
  <c r="AC27" i="3"/>
  <c r="AB54" i="3" l="1"/>
  <c r="AB73" i="3"/>
  <c r="AB7" i="4" s="1"/>
  <c r="AB13" i="4" s="1"/>
  <c r="F15" i="8"/>
  <c r="F15" i="9" s="1"/>
  <c r="F8" i="8"/>
  <c r="AB48" i="3"/>
  <c r="AB71" i="3"/>
  <c r="Z8" i="4"/>
  <c r="Z11" i="4"/>
  <c r="Z15" i="4" s="1"/>
  <c r="AB72" i="3"/>
  <c r="AB6" i="4" s="1"/>
  <c r="AB62" i="3"/>
  <c r="AA5" i="4"/>
  <c r="AA74" i="3"/>
  <c r="X27" i="4"/>
  <c r="Y18" i="4"/>
  <c r="Y26" i="4"/>
  <c r="Y19" i="4"/>
  <c r="Y25" i="4"/>
  <c r="AD13" i="3"/>
  <c r="AC61" i="3"/>
  <c r="AC60" i="3"/>
  <c r="AC59" i="3"/>
  <c r="AC62" i="3" s="1"/>
  <c r="AD11" i="3"/>
  <c r="AC52" i="3"/>
  <c r="AC53" i="3"/>
  <c r="AD51" i="3"/>
  <c r="AC51" i="3"/>
  <c r="AC47" i="3"/>
  <c r="AC46" i="3"/>
  <c r="AC45" i="3"/>
  <c r="AD10" i="3"/>
  <c r="AF35" i="3"/>
  <c r="AE38" i="3"/>
  <c r="AE24" i="3"/>
  <c r="AD27" i="3"/>
  <c r="AC72" i="3" l="1"/>
  <c r="AC6" i="4" s="1"/>
  <c r="AC12" i="4" s="1"/>
  <c r="AB12" i="4"/>
  <c r="Y27" i="4"/>
  <c r="Y29" i="4" s="1"/>
  <c r="Y31" i="4" s="1"/>
  <c r="Z18" i="4"/>
  <c r="Z26" i="4"/>
  <c r="Z19" i="4"/>
  <c r="Z25" i="4"/>
  <c r="AB5" i="4"/>
  <c r="AB11" i="4" s="1"/>
  <c r="AB74" i="3"/>
  <c r="X29" i="4"/>
  <c r="AC48" i="3"/>
  <c r="AC71" i="3"/>
  <c r="AC73" i="3"/>
  <c r="AC7" i="4" s="1"/>
  <c r="F35" i="9"/>
  <c r="AA11" i="4"/>
  <c r="AA15" i="4" s="1"/>
  <c r="AA8" i="4"/>
  <c r="AC54" i="3"/>
  <c r="AD61" i="3"/>
  <c r="AD59" i="3"/>
  <c r="AD60" i="3"/>
  <c r="AE13" i="3"/>
  <c r="AD53" i="3"/>
  <c r="AD52" i="3"/>
  <c r="AD54" i="3" s="1"/>
  <c r="AE11" i="3"/>
  <c r="AD47" i="3"/>
  <c r="AD45" i="3"/>
  <c r="AD46" i="3"/>
  <c r="AE10" i="3"/>
  <c r="AG35" i="3"/>
  <c r="AF38" i="3"/>
  <c r="AF24" i="3"/>
  <c r="AE27" i="3"/>
  <c r="AD73" i="3" l="1"/>
  <c r="AD7" i="4" s="1"/>
  <c r="AD13" i="4" s="1"/>
  <c r="X31" i="4"/>
  <c r="Z27" i="4"/>
  <c r="Z29" i="4" s="1"/>
  <c r="Z31" i="4" s="1"/>
  <c r="AA26" i="4"/>
  <c r="AA18" i="4"/>
  <c r="AA19" i="4"/>
  <c r="AA25" i="4"/>
  <c r="AD72" i="3"/>
  <c r="AD6" i="4" s="1"/>
  <c r="AC13" i="4"/>
  <c r="AB15" i="4"/>
  <c r="F14" i="8"/>
  <c r="F14" i="9" s="1"/>
  <c r="F7" i="8"/>
  <c r="F34" i="9" s="1"/>
  <c r="AD62" i="3"/>
  <c r="AD71" i="3"/>
  <c r="AC74" i="3"/>
  <c r="AC5" i="4"/>
  <c r="F13" i="8"/>
  <c r="F13" i="9" s="1"/>
  <c r="F6" i="8"/>
  <c r="AB8" i="4"/>
  <c r="AF13" i="3"/>
  <c r="AE59" i="3"/>
  <c r="AE60" i="3"/>
  <c r="AE61" i="3"/>
  <c r="AF11" i="3"/>
  <c r="AE53" i="3"/>
  <c r="AE52" i="3"/>
  <c r="AE51" i="3"/>
  <c r="AD48" i="3"/>
  <c r="AE45" i="3"/>
  <c r="AE47" i="3"/>
  <c r="AE46" i="3"/>
  <c r="AF10" i="3"/>
  <c r="AH35" i="3"/>
  <c r="AG38" i="3"/>
  <c r="AG24" i="3"/>
  <c r="AF27" i="3"/>
  <c r="AE54" i="3" l="1"/>
  <c r="F33" i="9"/>
  <c r="F9" i="8"/>
  <c r="AA27" i="4"/>
  <c r="AA29" i="4" s="1"/>
  <c r="AA31" i="4" s="1"/>
  <c r="AD12" i="4"/>
  <c r="AB18" i="4"/>
  <c r="AB26" i="4"/>
  <c r="AB19" i="4"/>
  <c r="AB25" i="4"/>
  <c r="AC11" i="4"/>
  <c r="AC8" i="4"/>
  <c r="AE72" i="3"/>
  <c r="AE6" i="4" s="1"/>
  <c r="AE73" i="3"/>
  <c r="AE7" i="4" s="1"/>
  <c r="AD5" i="4"/>
  <c r="AD74" i="3"/>
  <c r="AE71" i="3"/>
  <c r="AE62" i="3"/>
  <c r="AF61" i="3"/>
  <c r="AF60" i="3"/>
  <c r="AF59" i="3"/>
  <c r="AF62" i="3" s="1"/>
  <c r="AG13" i="3"/>
  <c r="AF52" i="3"/>
  <c r="AF53" i="3"/>
  <c r="AG11" i="3"/>
  <c r="AF51" i="3"/>
  <c r="AF54" i="3" s="1"/>
  <c r="AE48" i="3"/>
  <c r="AF46" i="3"/>
  <c r="AF45" i="3"/>
  <c r="AF47" i="3"/>
  <c r="AF73" i="3" s="1"/>
  <c r="AF7" i="4" s="1"/>
  <c r="AF13" i="4" s="1"/>
  <c r="AG10" i="3"/>
  <c r="AI35" i="3"/>
  <c r="AH38" i="3"/>
  <c r="AH24" i="3"/>
  <c r="AG27" i="3"/>
  <c r="AF72" i="3" l="1"/>
  <c r="AF6" i="4" s="1"/>
  <c r="AF12" i="4" s="1"/>
  <c r="AE13" i="4"/>
  <c r="AE12" i="4"/>
  <c r="AF71" i="3"/>
  <c r="AC26" i="4"/>
  <c r="AC19" i="4"/>
  <c r="AC18" i="4"/>
  <c r="AC25" i="4"/>
  <c r="AC15" i="4"/>
  <c r="AE74" i="3"/>
  <c r="AE5" i="4"/>
  <c r="AE8" i="4" s="1"/>
  <c r="AD11" i="4"/>
  <c r="AD15" i="4" s="1"/>
  <c r="AD8" i="4"/>
  <c r="AB27" i="4"/>
  <c r="AH13" i="3"/>
  <c r="AG60" i="3"/>
  <c r="AG61" i="3"/>
  <c r="AG59" i="3"/>
  <c r="AH11" i="3"/>
  <c r="AG52" i="3"/>
  <c r="AG53" i="3"/>
  <c r="AG51" i="3"/>
  <c r="AG54" i="3" s="1"/>
  <c r="AF48" i="3"/>
  <c r="AG47" i="3"/>
  <c r="AG73" i="3" s="1"/>
  <c r="AG7" i="4" s="1"/>
  <c r="AG13" i="4" s="1"/>
  <c r="AG46" i="3"/>
  <c r="AG45" i="3"/>
  <c r="AH10" i="3"/>
  <c r="AJ35" i="3"/>
  <c r="AI38" i="3"/>
  <c r="AI24" i="3"/>
  <c r="AH27" i="3"/>
  <c r="AG72" i="3" l="1"/>
  <c r="AG6" i="4" s="1"/>
  <c r="AG12" i="4" s="1"/>
  <c r="AE18" i="4"/>
  <c r="AE26" i="4"/>
  <c r="AE19" i="4"/>
  <c r="AE25" i="4"/>
  <c r="AF74" i="3"/>
  <c r="AF5" i="4"/>
  <c r="AC27" i="4"/>
  <c r="AC29" i="4" s="1"/>
  <c r="F11" i="8"/>
  <c r="AB29" i="4"/>
  <c r="AB31" i="4" s="1"/>
  <c r="AD18" i="4"/>
  <c r="AD26" i="4"/>
  <c r="AD19" i="4"/>
  <c r="AD25" i="4"/>
  <c r="AG71" i="3"/>
  <c r="AG62" i="3"/>
  <c r="AE11" i="4"/>
  <c r="AH60" i="3"/>
  <c r="AH59" i="3"/>
  <c r="AH61" i="3"/>
  <c r="AI13" i="3"/>
  <c r="AH52" i="3"/>
  <c r="AH53" i="3"/>
  <c r="AI11" i="3"/>
  <c r="AG48" i="3"/>
  <c r="AH51" i="3"/>
  <c r="AH46" i="3"/>
  <c r="AH72" i="3" s="1"/>
  <c r="AH6" i="4" s="1"/>
  <c r="AH12" i="4" s="1"/>
  <c r="AH47" i="3"/>
  <c r="AH45" i="3"/>
  <c r="AI10" i="3"/>
  <c r="AK35" i="3"/>
  <c r="AJ38" i="3"/>
  <c r="AJ24" i="3"/>
  <c r="AI27" i="3"/>
  <c r="AH62" i="3" l="1"/>
  <c r="AE15" i="4"/>
  <c r="AC31" i="4"/>
  <c r="F11" i="9"/>
  <c r="F17" i="9" s="1"/>
  <c r="F16" i="8"/>
  <c r="F18" i="8" s="1"/>
  <c r="AF11" i="4"/>
  <c r="AF15" i="4" s="1"/>
  <c r="AF8" i="4"/>
  <c r="AE27" i="4"/>
  <c r="AD27" i="4"/>
  <c r="AD29" i="4" s="1"/>
  <c r="AD31" i="4" s="1"/>
  <c r="AH71" i="3"/>
  <c r="AH73" i="3"/>
  <c r="AH7" i="4" s="1"/>
  <c r="AG74" i="3"/>
  <c r="AG5" i="4"/>
  <c r="AJ13" i="3"/>
  <c r="AI59" i="3"/>
  <c r="AI61" i="3"/>
  <c r="AI60" i="3"/>
  <c r="AH54" i="3"/>
  <c r="AJ11" i="3"/>
  <c r="AJ51" i="3" s="1"/>
  <c r="AI52" i="3"/>
  <c r="AI53" i="3"/>
  <c r="AH48" i="3"/>
  <c r="AI51" i="3"/>
  <c r="AI45" i="3"/>
  <c r="AI47" i="3"/>
  <c r="AI46" i="3"/>
  <c r="AJ10" i="3"/>
  <c r="AL35" i="3"/>
  <c r="AK38" i="3"/>
  <c r="AK24" i="3"/>
  <c r="AJ27" i="3"/>
  <c r="AI73" i="3" l="1"/>
  <c r="AI7" i="4" s="1"/>
  <c r="AI13" i="4" s="1"/>
  <c r="AI72" i="3"/>
  <c r="AI6" i="4" s="1"/>
  <c r="AH13" i="4"/>
  <c r="AH74" i="3"/>
  <c r="AH5" i="4"/>
  <c r="AI71" i="3"/>
  <c r="AE29" i="4"/>
  <c r="AI62" i="3"/>
  <c r="AF19" i="4"/>
  <c r="AF26" i="4"/>
  <c r="AF18" i="4"/>
  <c r="AF25" i="4"/>
  <c r="AG8" i="4"/>
  <c r="AG11" i="4"/>
  <c r="F19" i="8"/>
  <c r="F8" i="10" s="1"/>
  <c r="AI54" i="3"/>
  <c r="AJ59" i="3"/>
  <c r="AJ61" i="3"/>
  <c r="AJ60" i="3"/>
  <c r="AK13" i="3"/>
  <c r="AJ53" i="3"/>
  <c r="AJ52" i="3"/>
  <c r="AK11" i="3"/>
  <c r="AI48" i="3"/>
  <c r="AJ47" i="3"/>
  <c r="AJ45" i="3"/>
  <c r="AJ46" i="3"/>
  <c r="AK10" i="3"/>
  <c r="AM35" i="3"/>
  <c r="AL38" i="3"/>
  <c r="AL24" i="3"/>
  <c r="AK27" i="3"/>
  <c r="AJ54" i="3" l="1"/>
  <c r="AJ72" i="3"/>
  <c r="AJ6" i="4" s="1"/>
  <c r="AJ71" i="3"/>
  <c r="AJ74" i="3" s="1"/>
  <c r="AJ12" i="4"/>
  <c r="AG19" i="4"/>
  <c r="AG26" i="4"/>
  <c r="AG18" i="4"/>
  <c r="AG27" i="4" s="1"/>
  <c r="AG25" i="4"/>
  <c r="AI5" i="4"/>
  <c r="AI74" i="3"/>
  <c r="AJ62" i="3"/>
  <c r="AF27" i="4"/>
  <c r="AH8" i="4"/>
  <c r="AH11" i="4"/>
  <c r="AH15" i="4" s="1"/>
  <c r="AE31" i="4"/>
  <c r="AJ5" i="4"/>
  <c r="AJ11" i="4" s="1"/>
  <c r="AJ73" i="3"/>
  <c r="AJ7" i="4" s="1"/>
  <c r="AG15" i="4"/>
  <c r="AI12" i="4"/>
  <c r="AL13" i="3"/>
  <c r="AK61" i="3"/>
  <c r="AK60" i="3"/>
  <c r="AK59" i="3"/>
  <c r="AL11" i="3"/>
  <c r="AK53" i="3"/>
  <c r="AK52" i="3"/>
  <c r="AK51" i="3"/>
  <c r="AJ48" i="3"/>
  <c r="AK47" i="3"/>
  <c r="AK46" i="3"/>
  <c r="AK72" i="3" s="1"/>
  <c r="AK6" i="4" s="1"/>
  <c r="AK45" i="3"/>
  <c r="AK71" i="3" s="1"/>
  <c r="AL10" i="3"/>
  <c r="AN35" i="3"/>
  <c r="AN38" i="3" s="1"/>
  <c r="AM38" i="3"/>
  <c r="AM24" i="3"/>
  <c r="AL27" i="3"/>
  <c r="AG29" i="4" l="1"/>
  <c r="AG31" i="4" s="1"/>
  <c r="AH26" i="4"/>
  <c r="AH19" i="4"/>
  <c r="AH18" i="4"/>
  <c r="AH25" i="4"/>
  <c r="AK8" i="4"/>
  <c r="AK12" i="4"/>
  <c r="AK15" i="4" s="1"/>
  <c r="AK62" i="3"/>
  <c r="AK73" i="3"/>
  <c r="AK7" i="4" s="1"/>
  <c r="AK13" i="4" s="1"/>
  <c r="AJ13" i="4"/>
  <c r="AJ15" i="4" s="1"/>
  <c r="AF29" i="4"/>
  <c r="AK74" i="3"/>
  <c r="AK5" i="4"/>
  <c r="AK11" i="4" s="1"/>
  <c r="AI11" i="4"/>
  <c r="AI8" i="4"/>
  <c r="AJ8" i="4"/>
  <c r="AK54" i="3"/>
  <c r="AL61" i="3"/>
  <c r="AL60" i="3"/>
  <c r="AL59" i="3"/>
  <c r="AL62" i="3" s="1"/>
  <c r="AM13" i="3"/>
  <c r="AL53" i="3"/>
  <c r="AL52" i="3"/>
  <c r="AM11" i="3"/>
  <c r="AK48" i="3"/>
  <c r="AL51" i="3"/>
  <c r="AL47" i="3"/>
  <c r="AL45" i="3"/>
  <c r="AL71" i="3" s="1"/>
  <c r="AL46" i="3"/>
  <c r="AM10" i="3"/>
  <c r="AN24" i="3"/>
  <c r="AM27" i="3"/>
  <c r="AK26" i="4" l="1"/>
  <c r="AK18" i="4"/>
  <c r="AK19" i="4"/>
  <c r="AK25" i="4"/>
  <c r="AJ18" i="4"/>
  <c r="AJ26" i="4"/>
  <c r="AJ19" i="4"/>
  <c r="AJ25" i="4"/>
  <c r="AF31" i="4"/>
  <c r="AL5" i="4"/>
  <c r="AL73" i="3"/>
  <c r="AL7" i="4" s="1"/>
  <c r="AL13" i="4" s="1"/>
  <c r="AI26" i="4"/>
  <c r="AI18" i="4"/>
  <c r="AI19" i="4"/>
  <c r="AI25" i="4"/>
  <c r="AL72" i="3"/>
  <c r="AL6" i="4" s="1"/>
  <c r="AI15" i="4"/>
  <c r="AH27" i="4"/>
  <c r="AN13" i="3"/>
  <c r="AM60" i="3"/>
  <c r="AM61" i="3"/>
  <c r="AM59" i="3"/>
  <c r="AM62" i="3" s="1"/>
  <c r="AL54" i="3"/>
  <c r="AN27" i="3"/>
  <c r="AN11" i="3"/>
  <c r="AM53" i="3"/>
  <c r="AM52" i="3"/>
  <c r="AM51" i="3"/>
  <c r="AL48" i="3"/>
  <c r="AM45" i="3"/>
  <c r="AM71" i="3" s="1"/>
  <c r="AM46" i="3"/>
  <c r="AM72" i="3" s="1"/>
  <c r="AM6" i="4" s="1"/>
  <c r="AM47" i="3"/>
  <c r="AM73" i="3" s="1"/>
  <c r="AM7" i="4" s="1"/>
  <c r="AM13" i="4" s="1"/>
  <c r="AN10" i="3"/>
  <c r="AL8" i="4" l="1"/>
  <c r="AL12" i="4"/>
  <c r="AL11" i="4"/>
  <c r="AH29" i="4"/>
  <c r="AI27" i="4"/>
  <c r="AI29" i="4" s="1"/>
  <c r="AI31" i="4" s="1"/>
  <c r="AM8" i="4"/>
  <c r="AM12" i="4"/>
  <c r="AL74" i="3"/>
  <c r="AM5" i="4"/>
  <c r="AM11" i="4" s="1"/>
  <c r="AM74" i="3"/>
  <c r="AJ27" i="4"/>
  <c r="AJ29" i="4" s="1"/>
  <c r="AJ31" i="4" s="1"/>
  <c r="AK27" i="4"/>
  <c r="AK29" i="4" s="1"/>
  <c r="AK31" i="4" s="1"/>
  <c r="AM54" i="3"/>
  <c r="AN60" i="3"/>
  <c r="AN59" i="3"/>
  <c r="AN61" i="3"/>
  <c r="AN52" i="3"/>
  <c r="AN53" i="3"/>
  <c r="AN51" i="3"/>
  <c r="AM48" i="3"/>
  <c r="AN46" i="3"/>
  <c r="AN45" i="3"/>
  <c r="AN47" i="3"/>
  <c r="AN71" i="3" l="1"/>
  <c r="AN54" i="3"/>
  <c r="AH31" i="4"/>
  <c r="AN5" i="4"/>
  <c r="AL15" i="4"/>
  <c r="AN72" i="3"/>
  <c r="AN6" i="4" s="1"/>
  <c r="AN73" i="3"/>
  <c r="AN7" i="4" s="1"/>
  <c r="AN62" i="3"/>
  <c r="AM15" i="4"/>
  <c r="AL18" i="4"/>
  <c r="AL26" i="4"/>
  <c r="AL19" i="4"/>
  <c r="AL25" i="4"/>
  <c r="AM18" i="4"/>
  <c r="AM26" i="4"/>
  <c r="AM19" i="4"/>
  <c r="AM25" i="4"/>
  <c r="AN48" i="3"/>
  <c r="AN12" i="4" l="1"/>
  <c r="E6" i="7"/>
  <c r="F6" i="7"/>
  <c r="G6" i="7"/>
  <c r="AN11" i="4"/>
  <c r="AN8" i="4"/>
  <c r="F5" i="7"/>
  <c r="G5" i="7"/>
  <c r="AN13" i="4"/>
  <c r="E7" i="7"/>
  <c r="F7" i="7"/>
  <c r="G7" i="7"/>
  <c r="AL27" i="4"/>
  <c r="AN74" i="3"/>
  <c r="AM27" i="4"/>
  <c r="AM29" i="4" s="1"/>
  <c r="AM31" i="4" s="1"/>
  <c r="AN15" i="4" l="1"/>
  <c r="G13" i="8"/>
  <c r="G13" i="9" s="1"/>
  <c r="G6" i="8"/>
  <c r="F11" i="7"/>
  <c r="G11" i="7"/>
  <c r="AN19" i="4"/>
  <c r="AN26" i="4"/>
  <c r="AN18" i="4"/>
  <c r="AN25" i="4"/>
  <c r="F8" i="7"/>
  <c r="G8" i="7"/>
  <c r="G8" i="8"/>
  <c r="G35" i="9" s="1"/>
  <c r="G15" i="8"/>
  <c r="G15" i="9" s="1"/>
  <c r="E13" i="7"/>
  <c r="F13" i="7"/>
  <c r="G13" i="7"/>
  <c r="G7" i="8"/>
  <c r="G34" i="9" s="1"/>
  <c r="G14" i="8"/>
  <c r="G14" i="9" s="1"/>
  <c r="E12" i="7"/>
  <c r="F12" i="7"/>
  <c r="G12" i="7"/>
  <c r="AL29" i="4"/>
  <c r="AL31" i="4" l="1"/>
  <c r="E19" i="7"/>
  <c r="F19" i="7"/>
  <c r="G19" i="7"/>
  <c r="G33" i="9"/>
  <c r="G9" i="8"/>
  <c r="E25" i="7"/>
  <c r="F25" i="7"/>
  <c r="G25" i="7"/>
  <c r="E26" i="7"/>
  <c r="F26" i="7"/>
  <c r="G26" i="7"/>
  <c r="E15" i="7"/>
  <c r="F15" i="7"/>
  <c r="G15" i="7"/>
  <c r="F18" i="7"/>
  <c r="AN27" i="4"/>
  <c r="G18" i="7"/>
  <c r="G11" i="8" l="1"/>
  <c r="F27" i="7"/>
  <c r="G27" i="7"/>
  <c r="AN29" i="4"/>
  <c r="AN31" i="4" l="1"/>
  <c r="F29" i="7"/>
  <c r="F31" i="7" s="1"/>
  <c r="F33" i="7" s="1"/>
  <c r="G29" i="7"/>
  <c r="G31" i="7" s="1"/>
  <c r="G33" i="7" s="1"/>
  <c r="G11" i="9"/>
  <c r="G17" i="9" s="1"/>
  <c r="G16" i="8"/>
  <c r="G18" i="8" s="1"/>
  <c r="G19" i="8" s="1"/>
  <c r="G8" i="10" s="1"/>
  <c r="F34" i="7" l="1"/>
  <c r="F35" i="7" s="1"/>
  <c r="G34" i="7"/>
  <c r="G35" i="7" s="1"/>
  <c r="G5" i="10" l="1"/>
  <c r="G7" i="10" s="1"/>
  <c r="G9" i="10" s="1"/>
  <c r="G20" i="10" s="1"/>
  <c r="G37" i="7"/>
  <c r="F5" i="10"/>
  <c r="F7" i="10" s="1"/>
  <c r="F9" i="10" s="1"/>
  <c r="F20" i="10" s="1"/>
  <c r="F22" i="10" s="1"/>
  <c r="F37" i="7"/>
  <c r="F7" i="9"/>
  <c r="G21" i="10" l="1"/>
  <c r="G22" i="10" s="1"/>
  <c r="G36" i="9" s="1"/>
  <c r="G38" i="9" s="1"/>
  <c r="F36" i="9"/>
  <c r="F38" i="9" s="1"/>
  <c r="G7" i="9"/>
  <c r="G8" i="9" s="1"/>
  <c r="G19" i="9" s="1"/>
  <c r="F8" i="9"/>
  <c r="F19" i="9" s="1"/>
</calcChain>
</file>

<file path=xl/sharedStrings.xml><?xml version="1.0" encoding="utf-8"?>
<sst xmlns="http://schemas.openxmlformats.org/spreadsheetml/2006/main" count="297" uniqueCount="181">
  <si>
    <t>Start of  Construction</t>
  </si>
  <si>
    <t>Construction period</t>
  </si>
  <si>
    <t>3 Months</t>
  </si>
  <si>
    <t>Date of Operations</t>
  </si>
  <si>
    <t>Revenue</t>
  </si>
  <si>
    <t>Particulars</t>
  </si>
  <si>
    <t>Weekdays</t>
  </si>
  <si>
    <t>Weekend</t>
  </si>
  <si>
    <t>Lunch</t>
  </si>
  <si>
    <t>Dinner</t>
  </si>
  <si>
    <t>APC</t>
  </si>
  <si>
    <t>Alcoholic Beverages</t>
  </si>
  <si>
    <t>Non Alcoholic Beverages</t>
  </si>
  <si>
    <t>Food</t>
  </si>
  <si>
    <t>Y-O-Y Growth price rate</t>
  </si>
  <si>
    <t>Y-O-Y Price Growth rate</t>
  </si>
  <si>
    <t>Occupancy</t>
  </si>
  <si>
    <t>Number of Covers Available</t>
  </si>
  <si>
    <t>Number of Rounds Available</t>
  </si>
  <si>
    <t>Number of Covers Occupied/ Round</t>
  </si>
  <si>
    <t>MoM growth</t>
  </si>
  <si>
    <t>Maximum Occupancy/Round</t>
  </si>
  <si>
    <t xml:space="preserve">Direct Expenses </t>
  </si>
  <si>
    <t>Alcoholic Beverage cost (% of revenue)</t>
  </si>
  <si>
    <t>Non Alcoholic Beverages (% of revenue)</t>
  </si>
  <si>
    <t>Food (% of revenue)</t>
  </si>
  <si>
    <t>Salary</t>
  </si>
  <si>
    <t>Members of Team</t>
  </si>
  <si>
    <t>Number of Employees</t>
  </si>
  <si>
    <t>Salary / M</t>
  </si>
  <si>
    <t>Receptionist</t>
  </si>
  <si>
    <t>Restaurants Manager</t>
  </si>
  <si>
    <t>Waiters</t>
  </si>
  <si>
    <t>Head Chef</t>
  </si>
  <si>
    <t>Chefs</t>
  </si>
  <si>
    <t>Assistant Chef</t>
  </si>
  <si>
    <t>Valet Parking</t>
  </si>
  <si>
    <t>Cleaners</t>
  </si>
  <si>
    <t>Bartender</t>
  </si>
  <si>
    <t>Total</t>
  </si>
  <si>
    <t xml:space="preserve"> Staff salary will increase Y-o-Y basis </t>
  </si>
  <si>
    <t>Indirect Expenses</t>
  </si>
  <si>
    <t>HR Manager</t>
  </si>
  <si>
    <t>Assistant Manager</t>
  </si>
  <si>
    <t>Security</t>
  </si>
  <si>
    <t>Purchase Manager</t>
  </si>
  <si>
    <t>Accountant</t>
  </si>
  <si>
    <t xml:space="preserve"> Others </t>
  </si>
  <si>
    <t>Rotalty to brand (% Of Revenue)</t>
  </si>
  <si>
    <t>Rent (as per contract) (% of revenue)</t>
  </si>
  <si>
    <t>Water Cost (per month)</t>
  </si>
  <si>
    <t>Maintenance (per month)</t>
  </si>
  <si>
    <t>Marketing cost (per month)</t>
  </si>
  <si>
    <t>Electricity (Based on area Rs./sq. Ft.)</t>
  </si>
  <si>
    <t>Phone and internet (per month)</t>
  </si>
  <si>
    <t>Housekeeping  &amp; Consumables (% of revenue)</t>
  </si>
  <si>
    <t>Payment Settlement Charges (% or revenue)</t>
  </si>
  <si>
    <t>Numbers of Tables  occupied opting for card payment</t>
  </si>
  <si>
    <t xml:space="preserve"> Indirect expenses will increase Y-o-Y basis </t>
  </si>
  <si>
    <t>Area specifications</t>
  </si>
  <si>
    <t>Carpet Area required (Sq. ft.)</t>
  </si>
  <si>
    <t>Conversion Rate</t>
  </si>
  <si>
    <t>Super Built up area to be rented (Sq. ft.)</t>
  </si>
  <si>
    <t>Serving Area (% of carpet area)</t>
  </si>
  <si>
    <t>Serving Area</t>
  </si>
  <si>
    <t>Kitchen Area</t>
  </si>
  <si>
    <t>Area per cover (Sq.Ft.)</t>
  </si>
  <si>
    <t>Covers</t>
  </si>
  <si>
    <t>Sitting per table</t>
  </si>
  <si>
    <t>Number of Tables</t>
  </si>
  <si>
    <t>Capital Expenditure</t>
  </si>
  <si>
    <t>Equipments</t>
  </si>
  <si>
    <t>Rate per Sq Ft</t>
  </si>
  <si>
    <t>Kitchen Equipments and cutlery</t>
  </si>
  <si>
    <t>Refrigeration Equipments</t>
  </si>
  <si>
    <t>Furniture &amp; Fixtures</t>
  </si>
  <si>
    <t>Restaurants Décor</t>
  </si>
  <si>
    <t xml:space="preserve">Rent Deposits </t>
  </si>
  <si>
    <t>Working capital</t>
  </si>
  <si>
    <t>Days</t>
  </si>
  <si>
    <t>Initial working capital introduced</t>
  </si>
  <si>
    <t>Inventory</t>
  </si>
  <si>
    <t>Non-Alcoholic Beverages</t>
  </si>
  <si>
    <t>Creditor For Raw material</t>
  </si>
  <si>
    <t>Creditor For Expenses</t>
  </si>
  <si>
    <t xml:space="preserve">Depreciation </t>
  </si>
  <si>
    <t xml:space="preserve"> Equipments </t>
  </si>
  <si>
    <t xml:space="preserve"> Furniture &amp; Fixtures and Restaurant  décor </t>
  </si>
  <si>
    <t>Capital Structure</t>
  </si>
  <si>
    <t>Equity</t>
  </si>
  <si>
    <t>Debt</t>
  </si>
  <si>
    <t>Cash credit limit will be availed if required</t>
  </si>
  <si>
    <t>Rate of Interest on CC Limit</t>
  </si>
  <si>
    <t>Tax Rate</t>
  </si>
  <si>
    <t>Period of Construction of restaurant – 3 Months.</t>
  </si>
  <si>
    <t>End of sheet</t>
  </si>
  <si>
    <t>Currency in INR</t>
  </si>
  <si>
    <t>Model In:</t>
  </si>
  <si>
    <t xml:space="preserve">Ones </t>
  </si>
  <si>
    <t>Tens</t>
  </si>
  <si>
    <t>Hundreds</t>
  </si>
  <si>
    <t>Thousands</t>
  </si>
  <si>
    <t>Lakhs</t>
  </si>
  <si>
    <t>Millions</t>
  </si>
  <si>
    <t>Crores</t>
  </si>
  <si>
    <t>All Final Values In:</t>
  </si>
  <si>
    <t>Operating Days</t>
  </si>
  <si>
    <t>No. of Weekdays in a month</t>
  </si>
  <si>
    <t>no. of Weekends in a month</t>
  </si>
  <si>
    <t xml:space="preserve"> Lunch</t>
  </si>
  <si>
    <t xml:space="preserve"> Dinner</t>
  </si>
  <si>
    <t>Weekends</t>
  </si>
  <si>
    <t>No of Guests (per day)</t>
  </si>
  <si>
    <t>Average per Customer (APC)</t>
  </si>
  <si>
    <t xml:space="preserve">  Alcoholic Beverages</t>
  </si>
  <si>
    <t xml:space="preserve">  Non Alcoholic Beverages</t>
  </si>
  <si>
    <t xml:space="preserve">  Food</t>
  </si>
  <si>
    <t>TOTAL</t>
  </si>
  <si>
    <t>Revenue per Month</t>
  </si>
  <si>
    <t>Total Revenue for the Month</t>
  </si>
  <si>
    <t>End of Sheet</t>
  </si>
  <si>
    <t>Less Direct expenses</t>
  </si>
  <si>
    <t>Staff salary</t>
  </si>
  <si>
    <t>Total Direct expenses</t>
  </si>
  <si>
    <t>Other Staff salary</t>
  </si>
  <si>
    <t>Total Indirect expenses</t>
  </si>
  <si>
    <t>EBITDA</t>
  </si>
  <si>
    <t>EBITDA margin %</t>
  </si>
  <si>
    <t>Fixed Assets</t>
  </si>
  <si>
    <t>Add: Rent deposit</t>
  </si>
  <si>
    <t>Add: Working capital</t>
  </si>
  <si>
    <t>Total Funds required</t>
  </si>
  <si>
    <t>Sources of Funds</t>
  </si>
  <si>
    <t>Total Funds Contributed</t>
  </si>
  <si>
    <t>Opening balance</t>
  </si>
  <si>
    <t>Add: Purchases</t>
  </si>
  <si>
    <t>Less: Sales</t>
  </si>
  <si>
    <t>Less: Depreciation</t>
  </si>
  <si>
    <t>Closing Balance</t>
  </si>
  <si>
    <t>Current Assets</t>
  </si>
  <si>
    <t>Current Liabilities</t>
  </si>
  <si>
    <t>Creditor for Expenses</t>
  </si>
  <si>
    <t>Creditor for Raw material</t>
  </si>
  <si>
    <t>Working Capital</t>
  </si>
  <si>
    <t>Changes in Working Capital</t>
  </si>
  <si>
    <t>less depreciation</t>
  </si>
  <si>
    <t>EBIT</t>
  </si>
  <si>
    <t>less: interest</t>
  </si>
  <si>
    <t>EBT</t>
  </si>
  <si>
    <t>less: Tax</t>
  </si>
  <si>
    <t>EAT</t>
  </si>
  <si>
    <t>Transferred to Reserve</t>
  </si>
  <si>
    <t>Net Profit Margin</t>
  </si>
  <si>
    <t>Operating Activities</t>
  </si>
  <si>
    <t>Add: Non Cash Items</t>
  </si>
  <si>
    <t>Cash from operations before w.c changes</t>
  </si>
  <si>
    <t>Add/Less: Changes in Working Capital</t>
  </si>
  <si>
    <t>Cash from operations</t>
  </si>
  <si>
    <t>Investing Activities</t>
  </si>
  <si>
    <t>Purchase of fixed asset</t>
  </si>
  <si>
    <t>Rent deposit</t>
  </si>
  <si>
    <t>Cash from investing activities</t>
  </si>
  <si>
    <t>Financing Activities</t>
  </si>
  <si>
    <t>Equity Share Capital</t>
  </si>
  <si>
    <t>Cash from financing activities</t>
  </si>
  <si>
    <t>Cash generated during operations</t>
  </si>
  <si>
    <t>Add: Opening balance</t>
  </si>
  <si>
    <t>Closing balance</t>
  </si>
  <si>
    <t>Equity &amp; Liabilities</t>
  </si>
  <si>
    <t xml:space="preserve">Share Capital </t>
  </si>
  <si>
    <t>Reserve &amp; Surplus</t>
  </si>
  <si>
    <t>Total Shareholders Funds</t>
  </si>
  <si>
    <t>Creditors for expenses</t>
  </si>
  <si>
    <t>Creditors for raw materials</t>
  </si>
  <si>
    <t>Total Current Liabilities</t>
  </si>
  <si>
    <t>Total Liabilities</t>
  </si>
  <si>
    <t>Assets</t>
  </si>
  <si>
    <t>Rent Deposits</t>
  </si>
  <si>
    <t>Cash and cash equivalents</t>
  </si>
  <si>
    <t>Total Assets</t>
  </si>
  <si>
    <t>Restaurant Decor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</si>
</sst>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[$₹-4009]\ * #,##0.00_ ;_ [$₹-4009]\ * \-#,##0.00_ ;_ [$₹-4009]\ * &quot;-&quot;??_ ;_ @_ "/>
    <numFmt numFmtId="165" formatCode="&quot;Month&quot;\ 0"/>
    <numFmt numFmtId="166" formatCode="_ &quot;₹&quot;\ * #,##0.000_ ;_ &quot;₹&quot;\ * \-#,##0.000_ ;_ &quot;₹&quot;\ * &quot;-&quot;??_ ;_ @_ "/>
    <numFmt numFmtId="167" formatCode="&quot;Year&quot;\ 0"/>
    <numFmt numFmtId="168" formatCode="_ * #,##0.0_ ;_ * \-#,##0.0_ ;_ * &quot;-&quot;??_ ;_ @_ "/>
    <numFmt numFmtId="169" formatCode="_ * #,##0_ ;_ * \-#,##0_ ;_ * &quot;-&quot;??_ ;_ @_ "/>
    <numFmt numFmtId="170" formatCode="_ * #,##0.0_ ;_ * \-#,##0.0_ ;_ * &quot;-&quot;?_ ;_ 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i/>
      <sz val="9"/>
      <color rgb="FFFF0000"/>
      <name val="Aptos Narrow"/>
      <family val="2"/>
      <scheme val="minor"/>
    </font>
    <font>
      <i/>
      <sz val="9"/>
      <color rgb="FFFF0000"/>
      <name val="Aptos Narrow"/>
      <family val="2"/>
      <scheme val="minor"/>
    </font>
    <font>
      <sz val="11"/>
      <color theme="1"/>
      <name val="Arial"/>
      <family val="2"/>
    </font>
    <font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188">
    <xf numFmtId="0" fontId="0" fillId="0" borderId="0" xfId="0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0" xfId="0" applyFont="1"/>
    <xf numFmtId="0" fontId="4" fillId="2" borderId="4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9" fontId="0" fillId="0" borderId="5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0" fontId="0" fillId="0" borderId="14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3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vertical="center"/>
    </xf>
    <xf numFmtId="9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center" vertical="center"/>
    </xf>
    <xf numFmtId="9" fontId="0" fillId="0" borderId="14" xfId="0" applyNumberFormat="1" applyBorder="1" applyAlignment="1">
      <alignment horizontal="right" vertical="center"/>
    </xf>
    <xf numFmtId="9" fontId="0" fillId="0" borderId="8" xfId="0" applyNumberFormat="1" applyBorder="1" applyAlignment="1">
      <alignment horizontal="right" vertical="center"/>
    </xf>
    <xf numFmtId="10" fontId="0" fillId="0" borderId="2" xfId="0" applyNumberFormat="1" applyBorder="1"/>
    <xf numFmtId="15" fontId="6" fillId="0" borderId="9" xfId="0" applyNumberFormat="1" applyFont="1" applyBorder="1" applyAlignment="1">
      <alignment horizontal="center" vertical="center"/>
    </xf>
    <xf numFmtId="15" fontId="6" fillId="0" borderId="13" xfId="0" applyNumberFormat="1" applyFont="1" applyBorder="1" applyAlignment="1">
      <alignment horizontal="center" vertical="center"/>
    </xf>
    <xf numFmtId="0" fontId="0" fillId="0" borderId="13" xfId="0" applyBorder="1"/>
    <xf numFmtId="15" fontId="6" fillId="0" borderId="10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6" xfId="0" applyBorder="1"/>
    <xf numFmtId="0" fontId="0" fillId="0" borderId="9" xfId="0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0" fillId="0" borderId="2" xfId="0" applyNumberFormat="1" applyBorder="1" applyAlignment="1">
      <alignment horizontal="right" vertical="center"/>
    </xf>
    <xf numFmtId="0" fontId="0" fillId="5" borderId="0" xfId="0" applyFill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3" fontId="0" fillId="2" borderId="14" xfId="0" applyNumberFormat="1" applyFill="1" applyBorder="1" applyAlignment="1">
      <alignment horizontal="center" vertical="center"/>
    </xf>
    <xf numFmtId="3" fontId="0" fillId="2" borderId="5" xfId="0" applyNumberForma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4" fontId="9" fillId="0" borderId="0" xfId="0" applyNumberFormat="1" applyFont="1" applyAlignment="1">
      <alignment horizontal="right" vertical="center"/>
    </xf>
    <xf numFmtId="0" fontId="9" fillId="0" borderId="0" xfId="0" applyFont="1"/>
    <xf numFmtId="9" fontId="9" fillId="0" borderId="0" xfId="0" applyNumberFormat="1" applyFont="1" applyAlignment="1">
      <alignment horizontal="center"/>
    </xf>
    <xf numFmtId="4" fontId="2" fillId="0" borderId="5" xfId="0" applyNumberFormat="1" applyFont="1" applyBorder="1" applyAlignment="1">
      <alignment horizontal="center" vertical="center"/>
    </xf>
    <xf numFmtId="15" fontId="6" fillId="6" borderId="12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0" fillId="8" borderId="0" xfId="0" applyFill="1"/>
    <xf numFmtId="0" fontId="12" fillId="0" borderId="0" xfId="0" applyFont="1"/>
    <xf numFmtId="0" fontId="0" fillId="9" borderId="0" xfId="0" applyFill="1"/>
    <xf numFmtId="166" fontId="0" fillId="0" borderId="0" xfId="0" applyNumberFormat="1"/>
    <xf numFmtId="165" fontId="11" fillId="10" borderId="0" xfId="0" applyNumberFormat="1" applyFont="1" applyFill="1"/>
    <xf numFmtId="15" fontId="11" fillId="10" borderId="0" xfId="0" applyNumberFormat="1" applyFont="1" applyFill="1"/>
    <xf numFmtId="167" fontId="11" fillId="11" borderId="0" xfId="0" applyNumberFormat="1" applyFont="1" applyFill="1"/>
    <xf numFmtId="15" fontId="11" fillId="11" borderId="0" xfId="0" applyNumberFormat="1" applyFont="1" applyFill="1"/>
    <xf numFmtId="165" fontId="11" fillId="11" borderId="0" xfId="0" applyNumberFormat="1" applyFont="1" applyFill="1"/>
    <xf numFmtId="0" fontId="3" fillId="0" borderId="0" xfId="0" applyFont="1" applyAlignment="1">
      <alignment horizontal="left" indent="1"/>
    </xf>
    <xf numFmtId="166" fontId="3" fillId="0" borderId="0" xfId="0" applyNumberFormat="1" applyFont="1"/>
    <xf numFmtId="0" fontId="3" fillId="12" borderId="0" xfId="0" applyFont="1" applyFill="1"/>
    <xf numFmtId="0" fontId="3" fillId="13" borderId="0" xfId="0" applyFont="1" applyFill="1"/>
    <xf numFmtId="0" fontId="3" fillId="0" borderId="16" xfId="0" applyFont="1" applyBorder="1" applyAlignment="1">
      <alignment horizontal="left" indent="1"/>
    </xf>
    <xf numFmtId="0" fontId="3" fillId="0" borderId="16" xfId="0" applyFont="1" applyBorder="1"/>
    <xf numFmtId="0" fontId="0" fillId="0" borderId="16" xfId="0" applyBorder="1"/>
    <xf numFmtId="43" fontId="0" fillId="0" borderId="0" xfId="0" applyNumberFormat="1"/>
    <xf numFmtId="43" fontId="3" fillId="0" borderId="16" xfId="0" applyNumberFormat="1" applyFont="1" applyBorder="1"/>
    <xf numFmtId="43" fontId="3" fillId="0" borderId="0" xfId="0" applyNumberFormat="1" applyFont="1"/>
    <xf numFmtId="168" fontId="0" fillId="0" borderId="0" xfId="0" applyNumberFormat="1"/>
    <xf numFmtId="169" fontId="0" fillId="0" borderId="0" xfId="0" applyNumberFormat="1"/>
    <xf numFmtId="43" fontId="0" fillId="5" borderId="0" xfId="0" applyNumberFormat="1" applyFill="1"/>
    <xf numFmtId="0" fontId="3" fillId="14" borderId="0" xfId="0" applyFont="1" applyFill="1"/>
    <xf numFmtId="0" fontId="3" fillId="0" borderId="18" xfId="0" applyFont="1" applyBorder="1" applyAlignment="1">
      <alignment horizontal="left"/>
    </xf>
    <xf numFmtId="0" fontId="3" fillId="0" borderId="18" xfId="0" applyFont="1" applyBorder="1"/>
    <xf numFmtId="43" fontId="3" fillId="0" borderId="18" xfId="0" applyNumberFormat="1" applyFont="1" applyBorder="1"/>
    <xf numFmtId="43" fontId="3" fillId="0" borderId="17" xfId="0" applyNumberFormat="1" applyFont="1" applyBorder="1"/>
    <xf numFmtId="0" fontId="3" fillId="0" borderId="19" xfId="0" applyFont="1" applyBorder="1"/>
    <xf numFmtId="43" fontId="3" fillId="0" borderId="19" xfId="0" applyNumberFormat="1" applyFont="1" applyBorder="1"/>
    <xf numFmtId="168" fontId="3" fillId="0" borderId="19" xfId="0" applyNumberFormat="1" applyFont="1" applyBorder="1"/>
    <xf numFmtId="0" fontId="4" fillId="0" borderId="0" xfId="0" applyFont="1"/>
    <xf numFmtId="0" fontId="0" fillId="0" borderId="19" xfId="0" applyBorder="1"/>
    <xf numFmtId="168" fontId="3" fillId="0" borderId="0" xfId="0" applyNumberFormat="1" applyFont="1"/>
    <xf numFmtId="10" fontId="0" fillId="0" borderId="0" xfId="0" applyNumberFormat="1"/>
    <xf numFmtId="9" fontId="0" fillId="0" borderId="0" xfId="0" applyNumberFormat="1"/>
    <xf numFmtId="0" fontId="3" fillId="0" borderId="20" xfId="0" applyFont="1" applyBorder="1"/>
    <xf numFmtId="168" fontId="3" fillId="0" borderId="20" xfId="0" applyNumberFormat="1" applyFont="1" applyBorder="1"/>
    <xf numFmtId="0" fontId="0" fillId="15" borderId="0" xfId="0" applyFill="1"/>
    <xf numFmtId="43" fontId="0" fillId="15" borderId="0" xfId="0" applyNumberFormat="1" applyFill="1"/>
    <xf numFmtId="166" fontId="0" fillId="15" borderId="0" xfId="0" applyNumberFormat="1" applyFill="1"/>
    <xf numFmtId="0" fontId="0" fillId="0" borderId="0" xfId="0" applyAlignment="1">
      <alignment horizontal="left" indent="1"/>
    </xf>
    <xf numFmtId="43" fontId="0" fillId="0" borderId="19" xfId="0" applyNumberFormat="1" applyBorder="1"/>
    <xf numFmtId="15" fontId="0" fillId="0" borderId="0" xfId="0" applyNumberFormat="1"/>
    <xf numFmtId="9" fontId="3" fillId="0" borderId="19" xfId="0" applyNumberFormat="1" applyFont="1" applyBorder="1"/>
    <xf numFmtId="168" fontId="0" fillId="0" borderId="16" xfId="0" applyNumberFormat="1" applyBorder="1"/>
    <xf numFmtId="168" fontId="3" fillId="0" borderId="16" xfId="0" applyNumberFormat="1" applyFont="1" applyBorder="1"/>
    <xf numFmtId="168" fontId="3" fillId="0" borderId="18" xfId="0" applyNumberFormat="1" applyFont="1" applyBorder="1"/>
    <xf numFmtId="0" fontId="0" fillId="0" borderId="18" xfId="0" applyBorder="1"/>
    <xf numFmtId="170" fontId="0" fillId="0" borderId="0" xfId="0" applyNumberFormat="1"/>
    <xf numFmtId="170" fontId="3" fillId="0" borderId="16" xfId="0" applyNumberFormat="1" applyFont="1" applyBorder="1"/>
    <xf numFmtId="170" fontId="3" fillId="0" borderId="0" xfId="0" applyNumberFormat="1" applyFont="1"/>
    <xf numFmtId="170" fontId="3" fillId="0" borderId="19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4" xfId="0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0" fillId="0" borderId="6" xfId="0" applyBorder="1" applyAlignment="1">
      <alignment horizontal="left" vertical="center" indent="2"/>
    </xf>
    <xf numFmtId="0" fontId="0" fillId="0" borderId="4" xfId="0" applyBorder="1" applyAlignment="1">
      <alignment horizontal="left" vertical="center" wrapText="1" indent="2"/>
    </xf>
    <xf numFmtId="0" fontId="0" fillId="0" borderId="0" xfId="0" applyAlignment="1">
      <alignment horizontal="left" vertical="center" wrapText="1" indent="2"/>
    </xf>
    <xf numFmtId="0" fontId="0" fillId="0" borderId="6" xfId="0" applyBorder="1" applyAlignment="1">
      <alignment horizontal="left" vertical="center" wrapText="1" indent="2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3">
    <cellStyle name="Comma 2" xfId="1" xr:uid="{AB8C67F1-0BF7-47A3-A724-9C21C841AE35}"/>
    <cellStyle name="Normal" xfId="0" builtinId="0"/>
    <cellStyle name="Normal 2" xfId="2" xr:uid="{32F71B2D-C8A0-4553-B6A4-8123699006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ames\far%20cry4\Yamatcha%20Financial%20Model%20(1).xlsx" TargetMode="External"/><Relationship Id="rId1" Type="http://schemas.openxmlformats.org/officeDocument/2006/relationships/externalLinkPath" Target="/games/far%20cry4/Yamatcha%20Financial%20Mode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Converter"/>
      <sheetName val="Monthly Revenue"/>
      <sheetName val="Monthly P&amp;L"/>
      <sheetName val="Capital Structure"/>
      <sheetName val="Fixed Assets Schedule"/>
      <sheetName val="Annual P&amp;L"/>
      <sheetName val="Working Capital"/>
      <sheetName val="Balance Sheet"/>
      <sheetName val="Cashflow Statement"/>
    </sheetNames>
    <sheetDataSet>
      <sheetData sheetId="0">
        <row r="88">
          <cell r="A88" t="str">
            <v>Inventory</v>
          </cell>
        </row>
        <row r="89">
          <cell r="A89" t="str">
            <v>Alcoholic Beverages</v>
          </cell>
        </row>
      </sheetData>
      <sheetData sheetId="1" refreshError="1"/>
      <sheetData sheetId="2" refreshError="1"/>
      <sheetData sheetId="3" refreshError="1"/>
      <sheetData sheetId="4">
        <row r="6">
          <cell r="A6" t="str">
            <v>Kitchen Equipments and cutlery</v>
          </cell>
        </row>
        <row r="7">
          <cell r="A7" t="str">
            <v>Refrigeration Equipments</v>
          </cell>
        </row>
        <row r="8">
          <cell r="A8" t="str">
            <v>Furniture &amp; Fixtures</v>
          </cell>
        </row>
      </sheetData>
      <sheetData sheetId="5" refreshError="1"/>
      <sheetData sheetId="6" refreshError="1"/>
      <sheetData sheetId="7">
        <row r="6">
          <cell r="A6" t="str">
            <v>Inventory</v>
          </cell>
        </row>
        <row r="7">
          <cell r="A7" t="str">
            <v>Alcoholic Beverages</v>
          </cell>
        </row>
        <row r="8">
          <cell r="A8" t="str">
            <v>Non Alcoholic Beverages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35A5-CA50-4572-ADB2-70D13D1D007E}">
  <dimension ref="A1:G107"/>
  <sheetViews>
    <sheetView topLeftCell="A89" workbookViewId="0">
      <selection activeCell="I15" sqref="I15"/>
    </sheetView>
  </sheetViews>
  <sheetFormatPr defaultRowHeight="15" x14ac:dyDescent="0.25"/>
  <cols>
    <col min="1" max="1" width="39.85546875" bestFit="1" customWidth="1"/>
    <col min="2" max="2" width="10.28515625" bestFit="1" customWidth="1"/>
    <col min="3" max="3" width="9.5703125" bestFit="1" customWidth="1"/>
    <col min="5" max="5" width="33" bestFit="1" customWidth="1"/>
    <col min="6" max="6" width="10.28515625" bestFit="1" customWidth="1"/>
    <col min="7" max="7" width="14.140625" bestFit="1" customWidth="1"/>
  </cols>
  <sheetData>
    <row r="1" spans="1:7" x14ac:dyDescent="0.25">
      <c r="A1" s="158" t="s">
        <v>94</v>
      </c>
      <c r="B1" s="158"/>
      <c r="C1" s="158"/>
      <c r="D1" s="158"/>
      <c r="E1" s="158"/>
      <c r="F1" s="158"/>
      <c r="G1" s="158"/>
    </row>
    <row r="2" spans="1:7" ht="15.75" thickBot="1" x14ac:dyDescent="0.3">
      <c r="A2" s="3"/>
      <c r="G2" s="33"/>
    </row>
    <row r="3" spans="1:7" x14ac:dyDescent="0.25">
      <c r="A3" s="7" t="s">
        <v>0</v>
      </c>
      <c r="B3" s="57"/>
      <c r="C3" s="58"/>
      <c r="D3" s="58"/>
      <c r="E3" s="58"/>
      <c r="F3" s="61"/>
      <c r="G3" s="87">
        <v>43922</v>
      </c>
    </row>
    <row r="4" spans="1:7" x14ac:dyDescent="0.25">
      <c r="A4" s="5" t="s">
        <v>1</v>
      </c>
      <c r="B4" s="6"/>
      <c r="F4" s="62"/>
      <c r="G4" s="4" t="s">
        <v>2</v>
      </c>
    </row>
    <row r="5" spans="1:7" ht="15.75" thickBot="1" x14ac:dyDescent="0.3">
      <c r="A5" s="8" t="s">
        <v>3</v>
      </c>
      <c r="B5" s="59"/>
      <c r="C5" s="60"/>
      <c r="D5" s="60"/>
      <c r="E5" s="60"/>
      <c r="F5" s="63"/>
      <c r="G5" s="56">
        <f>EOMONTH(G3,2)+1</f>
        <v>44013</v>
      </c>
    </row>
    <row r="6" spans="1:7" x14ac:dyDescent="0.25">
      <c r="A6" s="158" t="s">
        <v>4</v>
      </c>
      <c r="B6" s="158"/>
      <c r="C6" s="158"/>
      <c r="D6" s="158"/>
      <c r="E6" s="158"/>
      <c r="F6" s="158"/>
      <c r="G6" s="158"/>
    </row>
    <row r="7" spans="1:7" ht="15.75" thickBot="1" x14ac:dyDescent="0.3">
      <c r="A7" s="52"/>
      <c r="B7" s="52"/>
      <c r="C7" s="52"/>
      <c r="D7" s="52"/>
      <c r="E7" s="52"/>
      <c r="F7" s="52"/>
      <c r="G7" s="52"/>
    </row>
    <row r="8" spans="1:7" ht="15.75" thickBot="1" x14ac:dyDescent="0.3">
      <c r="A8" s="64" t="s">
        <v>5</v>
      </c>
      <c r="B8" s="65" t="s">
        <v>6</v>
      </c>
      <c r="C8" s="67" t="s">
        <v>7</v>
      </c>
      <c r="E8" s="64" t="s">
        <v>5</v>
      </c>
      <c r="F8" s="65" t="s">
        <v>6</v>
      </c>
      <c r="G8" s="66" t="s">
        <v>7</v>
      </c>
    </row>
    <row r="9" spans="1:7" x14ac:dyDescent="0.25">
      <c r="A9" s="10" t="s">
        <v>8</v>
      </c>
      <c r="B9" s="11"/>
      <c r="C9" s="12"/>
      <c r="E9" s="13" t="s">
        <v>9</v>
      </c>
      <c r="F9" s="11"/>
      <c r="G9" s="12"/>
    </row>
    <row r="10" spans="1:7" x14ac:dyDescent="0.25">
      <c r="A10" s="14" t="s">
        <v>10</v>
      </c>
      <c r="B10" s="15">
        <f>SUBTOTAL(9,B11:B13)</f>
        <v>1500</v>
      </c>
      <c r="C10" s="15">
        <f>SUBTOTAL(9,C11:C13)</f>
        <v>1700</v>
      </c>
      <c r="E10" s="14" t="s">
        <v>10</v>
      </c>
      <c r="F10" s="15">
        <f>SUBTOTAL(9,F11:F13)</f>
        <v>1600</v>
      </c>
      <c r="G10" s="15">
        <f>SUBTOTAL(9,G11:G13)</f>
        <v>1900</v>
      </c>
    </row>
    <row r="11" spans="1:7" x14ac:dyDescent="0.25">
      <c r="A11" s="19" t="s">
        <v>11</v>
      </c>
      <c r="B11" s="88">
        <v>300</v>
      </c>
      <c r="C11" s="89">
        <v>500</v>
      </c>
      <c r="E11" s="16" t="s">
        <v>11</v>
      </c>
      <c r="F11" s="88">
        <v>400</v>
      </c>
      <c r="G11" s="89">
        <v>650</v>
      </c>
    </row>
    <row r="12" spans="1:7" x14ac:dyDescent="0.25">
      <c r="A12" s="19" t="s">
        <v>12</v>
      </c>
      <c r="B12" s="88">
        <v>200</v>
      </c>
      <c r="C12" s="89">
        <v>200</v>
      </c>
      <c r="E12" s="16" t="s">
        <v>12</v>
      </c>
      <c r="F12" s="88">
        <v>200</v>
      </c>
      <c r="G12" s="89">
        <v>250</v>
      </c>
    </row>
    <row r="13" spans="1:7" x14ac:dyDescent="0.25">
      <c r="A13" s="19" t="s">
        <v>13</v>
      </c>
      <c r="B13" s="88">
        <v>1000</v>
      </c>
      <c r="C13" s="89">
        <v>1000</v>
      </c>
      <c r="E13" s="16" t="s">
        <v>13</v>
      </c>
      <c r="F13" s="88">
        <v>1000</v>
      </c>
      <c r="G13" s="89">
        <v>1000</v>
      </c>
    </row>
    <row r="14" spans="1:7" x14ac:dyDescent="0.25">
      <c r="A14" s="19" t="s">
        <v>14</v>
      </c>
      <c r="B14" s="17">
        <v>0.05</v>
      </c>
      <c r="C14" s="18">
        <v>0.05</v>
      </c>
      <c r="E14" s="16" t="s">
        <v>15</v>
      </c>
      <c r="F14" s="17">
        <v>0.05</v>
      </c>
      <c r="G14" s="18">
        <v>0.05</v>
      </c>
    </row>
    <row r="15" spans="1:7" x14ac:dyDescent="0.25">
      <c r="A15" s="19"/>
      <c r="B15" s="11"/>
      <c r="C15" s="12"/>
      <c r="E15" s="16"/>
      <c r="F15" s="11"/>
      <c r="G15" s="12"/>
    </row>
    <row r="16" spans="1:7" x14ac:dyDescent="0.25">
      <c r="A16" s="19" t="s">
        <v>16</v>
      </c>
      <c r="B16" s="11"/>
      <c r="C16" s="12"/>
      <c r="E16" s="19" t="s">
        <v>16</v>
      </c>
      <c r="F16" s="11"/>
      <c r="G16" s="12"/>
    </row>
    <row r="17" spans="1:7" x14ac:dyDescent="0.25">
      <c r="A17" s="19" t="s">
        <v>17</v>
      </c>
      <c r="B17" s="11">
        <v>100</v>
      </c>
      <c r="C17" s="12">
        <v>100</v>
      </c>
      <c r="E17" s="16" t="s">
        <v>17</v>
      </c>
      <c r="F17" s="11">
        <v>100</v>
      </c>
      <c r="G17" s="12">
        <v>100</v>
      </c>
    </row>
    <row r="18" spans="1:7" x14ac:dyDescent="0.25">
      <c r="A18" s="19" t="s">
        <v>18</v>
      </c>
      <c r="B18" s="11">
        <v>2</v>
      </c>
      <c r="C18" s="12">
        <v>2</v>
      </c>
      <c r="E18" s="16" t="s">
        <v>18</v>
      </c>
      <c r="F18" s="11">
        <v>2</v>
      </c>
      <c r="G18" s="12">
        <v>2</v>
      </c>
    </row>
    <row r="19" spans="1:7" x14ac:dyDescent="0.25">
      <c r="A19" s="19" t="s">
        <v>19</v>
      </c>
      <c r="B19" s="73">
        <v>10</v>
      </c>
      <c r="C19" s="74">
        <v>13</v>
      </c>
      <c r="E19" s="16" t="s">
        <v>19</v>
      </c>
      <c r="F19" s="73">
        <v>13</v>
      </c>
      <c r="G19" s="74">
        <v>15</v>
      </c>
    </row>
    <row r="20" spans="1:7" x14ac:dyDescent="0.25">
      <c r="A20" s="19" t="s">
        <v>20</v>
      </c>
      <c r="B20" s="17">
        <v>0.02</v>
      </c>
      <c r="C20" s="18">
        <v>0.04</v>
      </c>
      <c r="E20" s="16" t="s">
        <v>20</v>
      </c>
      <c r="F20" s="17">
        <v>0.02</v>
      </c>
      <c r="G20" s="18">
        <v>0.04</v>
      </c>
    </row>
    <row r="21" spans="1:7" ht="15.75" thickBot="1" x14ac:dyDescent="0.3">
      <c r="A21" s="50" t="s">
        <v>21</v>
      </c>
      <c r="B21" s="21">
        <v>60</v>
      </c>
      <c r="C21" s="22">
        <v>80</v>
      </c>
      <c r="E21" s="20" t="s">
        <v>21</v>
      </c>
      <c r="F21" s="21">
        <v>70</v>
      </c>
      <c r="G21" s="22">
        <v>90</v>
      </c>
    </row>
    <row r="22" spans="1:7" x14ac:dyDescent="0.25">
      <c r="A22" s="9"/>
      <c r="G22" s="33"/>
    </row>
    <row r="23" spans="1:7" x14ac:dyDescent="0.25">
      <c r="A23" s="9"/>
      <c r="G23" s="33"/>
    </row>
    <row r="24" spans="1:7" ht="15.75" thickBot="1" x14ac:dyDescent="0.3">
      <c r="A24" s="157" t="s">
        <v>22</v>
      </c>
      <c r="B24" s="158"/>
      <c r="C24" s="158"/>
      <c r="D24" s="158"/>
      <c r="E24" s="158"/>
      <c r="F24" s="158"/>
      <c r="G24" s="158"/>
    </row>
    <row r="25" spans="1:7" x14ac:dyDescent="0.25">
      <c r="A25" s="166" t="s">
        <v>23</v>
      </c>
      <c r="B25" s="167"/>
      <c r="C25" s="167"/>
      <c r="D25" s="167"/>
      <c r="E25" s="167"/>
      <c r="F25" s="167"/>
      <c r="G25" s="23">
        <v>0.35</v>
      </c>
    </row>
    <row r="26" spans="1:7" x14ac:dyDescent="0.25">
      <c r="A26" s="155" t="s">
        <v>24</v>
      </c>
      <c r="B26" s="156"/>
      <c r="C26" s="156"/>
      <c r="D26" s="156"/>
      <c r="E26" s="156"/>
      <c r="F26" s="156"/>
      <c r="G26" s="17">
        <v>0.4</v>
      </c>
    </row>
    <row r="27" spans="1:7" ht="15.75" thickBot="1" x14ac:dyDescent="0.3">
      <c r="A27" s="175" t="s">
        <v>25</v>
      </c>
      <c r="B27" s="176"/>
      <c r="C27" s="176"/>
      <c r="D27" s="176"/>
      <c r="E27" s="176"/>
      <c r="F27" s="176"/>
      <c r="G27" s="24">
        <v>0.3</v>
      </c>
    </row>
    <row r="29" spans="1:7" ht="15.75" thickBot="1" x14ac:dyDescent="0.3">
      <c r="A29" s="175" t="s">
        <v>26</v>
      </c>
      <c r="B29" s="176"/>
      <c r="C29" s="176"/>
      <c r="D29" s="176"/>
      <c r="E29" s="176"/>
      <c r="F29" s="176"/>
      <c r="G29" s="176"/>
    </row>
    <row r="30" spans="1:7" ht="15.75" thickBot="1" x14ac:dyDescent="0.3">
      <c r="A30" s="166" t="s">
        <v>27</v>
      </c>
      <c r="B30" s="167"/>
      <c r="C30" s="167"/>
      <c r="D30" s="168"/>
      <c r="E30" s="25" t="s">
        <v>28</v>
      </c>
      <c r="F30" s="26" t="s">
        <v>29</v>
      </c>
      <c r="G30" s="78" t="s">
        <v>29</v>
      </c>
    </row>
    <row r="31" spans="1:7" x14ac:dyDescent="0.25">
      <c r="A31" s="169" t="s">
        <v>30</v>
      </c>
      <c r="B31" s="170"/>
      <c r="C31" s="170"/>
      <c r="D31" s="171"/>
      <c r="E31" s="27">
        <v>2</v>
      </c>
      <c r="F31" s="28">
        <v>20000</v>
      </c>
      <c r="G31" s="79">
        <v>40000</v>
      </c>
    </row>
    <row r="32" spans="1:7" x14ac:dyDescent="0.25">
      <c r="A32" s="145" t="s">
        <v>31</v>
      </c>
      <c r="B32" s="146"/>
      <c r="C32" s="146"/>
      <c r="D32" s="147"/>
      <c r="E32" s="30">
        <v>2</v>
      </c>
      <c r="F32" s="11">
        <v>50000</v>
      </c>
      <c r="G32" s="80">
        <v>100000</v>
      </c>
    </row>
    <row r="33" spans="1:7" x14ac:dyDescent="0.25">
      <c r="A33" s="145" t="s">
        <v>32</v>
      </c>
      <c r="B33" s="146"/>
      <c r="C33" s="146"/>
      <c r="D33" s="147"/>
      <c r="E33" s="30">
        <v>10</v>
      </c>
      <c r="F33" s="11">
        <v>20000</v>
      </c>
      <c r="G33" s="80">
        <v>200000</v>
      </c>
    </row>
    <row r="34" spans="1:7" x14ac:dyDescent="0.25">
      <c r="A34" s="145" t="s">
        <v>33</v>
      </c>
      <c r="B34" s="146"/>
      <c r="C34" s="146"/>
      <c r="D34" s="147"/>
      <c r="E34" s="30">
        <v>1</v>
      </c>
      <c r="F34" s="11">
        <v>100000</v>
      </c>
      <c r="G34" s="80">
        <v>100000</v>
      </c>
    </row>
    <row r="35" spans="1:7" x14ac:dyDescent="0.25">
      <c r="A35" s="145" t="s">
        <v>34</v>
      </c>
      <c r="B35" s="146"/>
      <c r="C35" s="146"/>
      <c r="D35" s="147"/>
      <c r="E35" s="30">
        <v>2</v>
      </c>
      <c r="F35" s="11">
        <v>75000</v>
      </c>
      <c r="G35" s="80">
        <v>150000</v>
      </c>
    </row>
    <row r="36" spans="1:7" x14ac:dyDescent="0.25">
      <c r="A36" s="145" t="s">
        <v>35</v>
      </c>
      <c r="B36" s="146"/>
      <c r="C36" s="146"/>
      <c r="D36" s="147"/>
      <c r="E36" s="30">
        <v>6</v>
      </c>
      <c r="F36" s="11">
        <v>30000</v>
      </c>
      <c r="G36" s="80">
        <v>180000</v>
      </c>
    </row>
    <row r="37" spans="1:7" x14ac:dyDescent="0.25">
      <c r="A37" s="145" t="s">
        <v>36</v>
      </c>
      <c r="B37" s="146"/>
      <c r="C37" s="146"/>
      <c r="D37" s="147"/>
      <c r="E37" s="30">
        <v>3</v>
      </c>
      <c r="F37" s="11">
        <v>17000</v>
      </c>
      <c r="G37" s="80">
        <v>51000</v>
      </c>
    </row>
    <row r="38" spans="1:7" x14ac:dyDescent="0.25">
      <c r="A38" s="145" t="s">
        <v>37</v>
      </c>
      <c r="B38" s="146"/>
      <c r="C38" s="146"/>
      <c r="D38" s="147"/>
      <c r="E38" s="30">
        <v>5</v>
      </c>
      <c r="F38" s="11">
        <v>17000</v>
      </c>
      <c r="G38" s="80">
        <v>85000</v>
      </c>
    </row>
    <row r="39" spans="1:7" ht="15.75" thickBot="1" x14ac:dyDescent="0.3">
      <c r="A39" s="148" t="s">
        <v>38</v>
      </c>
      <c r="B39" s="149"/>
      <c r="C39" s="149"/>
      <c r="D39" s="150"/>
      <c r="E39" s="32">
        <v>4</v>
      </c>
      <c r="F39" s="21">
        <v>20000</v>
      </c>
      <c r="G39" s="77">
        <v>80000</v>
      </c>
    </row>
    <row r="40" spans="1:7" ht="15.75" thickBot="1" x14ac:dyDescent="0.3">
      <c r="A40" s="172" t="s">
        <v>39</v>
      </c>
      <c r="B40" s="173"/>
      <c r="C40" s="173"/>
      <c r="D40" s="173"/>
      <c r="E40" s="174"/>
      <c r="F40" s="21"/>
      <c r="G40" s="77">
        <f>SUM(G31:G39)</f>
        <v>986000</v>
      </c>
    </row>
    <row r="41" spans="1:7" x14ac:dyDescent="0.25">
      <c r="A41" s="42" t="s">
        <v>40</v>
      </c>
      <c r="G41" s="81">
        <v>0.08</v>
      </c>
    </row>
    <row r="42" spans="1:7" ht="15.75" thickBot="1" x14ac:dyDescent="0.3">
      <c r="A42" s="158" t="s">
        <v>41</v>
      </c>
      <c r="B42" s="158"/>
      <c r="C42" s="158"/>
      <c r="D42" s="158"/>
      <c r="E42" s="158"/>
      <c r="F42" s="158"/>
      <c r="G42" s="158"/>
    </row>
    <row r="43" spans="1:7" ht="15.75" thickBot="1" x14ac:dyDescent="0.3">
      <c r="A43" s="166" t="s">
        <v>27</v>
      </c>
      <c r="B43" s="167"/>
      <c r="C43" s="167"/>
      <c r="D43" s="168"/>
      <c r="E43" s="25" t="s">
        <v>28</v>
      </c>
      <c r="F43" s="26" t="s">
        <v>29</v>
      </c>
      <c r="G43" s="34" t="s">
        <v>29</v>
      </c>
    </row>
    <row r="44" spans="1:7" x14ac:dyDescent="0.25">
      <c r="A44" s="169" t="s">
        <v>42</v>
      </c>
      <c r="B44" s="170"/>
      <c r="C44" s="170"/>
      <c r="D44" s="170"/>
      <c r="E44" s="35">
        <v>1</v>
      </c>
      <c r="F44" s="28">
        <v>50000</v>
      </c>
      <c r="G44" s="29">
        <v>50000</v>
      </c>
    </row>
    <row r="45" spans="1:7" x14ac:dyDescent="0.25">
      <c r="A45" s="145" t="s">
        <v>43</v>
      </c>
      <c r="B45" s="146"/>
      <c r="C45" s="146"/>
      <c r="D45" s="146"/>
      <c r="E45" s="30">
        <v>2</v>
      </c>
      <c r="F45" s="11">
        <v>35000</v>
      </c>
      <c r="G45" s="31">
        <v>70000</v>
      </c>
    </row>
    <row r="46" spans="1:7" x14ac:dyDescent="0.25">
      <c r="A46" s="145" t="s">
        <v>44</v>
      </c>
      <c r="B46" s="146"/>
      <c r="C46" s="146"/>
      <c r="D46" s="146"/>
      <c r="E46" s="30">
        <v>2</v>
      </c>
      <c r="F46" s="11">
        <v>20000</v>
      </c>
      <c r="G46" s="31">
        <v>40000</v>
      </c>
    </row>
    <row r="47" spans="1:7" x14ac:dyDescent="0.25">
      <c r="A47" s="145" t="s">
        <v>45</v>
      </c>
      <c r="B47" s="146"/>
      <c r="C47" s="146"/>
      <c r="D47" s="146"/>
      <c r="E47" s="30">
        <v>2</v>
      </c>
      <c r="F47" s="11">
        <v>40000</v>
      </c>
      <c r="G47" s="31">
        <v>80000</v>
      </c>
    </row>
    <row r="48" spans="1:7" x14ac:dyDescent="0.25">
      <c r="A48" s="145" t="s">
        <v>46</v>
      </c>
      <c r="B48" s="146"/>
      <c r="C48" s="146"/>
      <c r="D48" s="146"/>
      <c r="E48" s="30">
        <v>2</v>
      </c>
      <c r="F48" s="11">
        <v>40000</v>
      </c>
      <c r="G48" s="31">
        <v>80000</v>
      </c>
    </row>
    <row r="49" spans="1:7" ht="15.75" thickBot="1" x14ac:dyDescent="0.3">
      <c r="A49" s="145" t="s">
        <v>47</v>
      </c>
      <c r="B49" s="146"/>
      <c r="C49" s="146"/>
      <c r="D49" s="146"/>
      <c r="E49" s="30">
        <v>2</v>
      </c>
      <c r="F49" s="11">
        <v>30000</v>
      </c>
      <c r="G49" s="31">
        <v>60000</v>
      </c>
    </row>
    <row r="50" spans="1:7" ht="15.75" thickBot="1" x14ac:dyDescent="0.3">
      <c r="A50" s="177" t="s">
        <v>39</v>
      </c>
      <c r="B50" s="178"/>
      <c r="C50" s="178"/>
      <c r="D50" s="178"/>
      <c r="E50" s="179"/>
      <c r="F50" s="36"/>
      <c r="G50" s="37">
        <f>SUM(G44:G49)</f>
        <v>380000</v>
      </c>
    </row>
    <row r="51" spans="1:7" ht="15.75" thickBot="1" x14ac:dyDescent="0.3">
      <c r="A51" s="38"/>
      <c r="B51" s="39"/>
      <c r="C51" s="38"/>
      <c r="D51" s="38"/>
      <c r="E51" s="38"/>
      <c r="F51" s="39"/>
      <c r="G51" s="40"/>
    </row>
    <row r="52" spans="1:7" x14ac:dyDescent="0.25">
      <c r="A52" s="169" t="s">
        <v>48</v>
      </c>
      <c r="B52" s="170"/>
      <c r="C52" s="170"/>
      <c r="D52" s="170"/>
      <c r="E52" s="170"/>
      <c r="F52" s="171"/>
      <c r="G52" s="23">
        <v>0.05</v>
      </c>
    </row>
    <row r="53" spans="1:7" x14ac:dyDescent="0.25">
      <c r="A53" s="145" t="s">
        <v>49</v>
      </c>
      <c r="B53" s="146"/>
      <c r="C53" s="146"/>
      <c r="D53" s="146"/>
      <c r="E53" s="146"/>
      <c r="F53" s="147"/>
      <c r="G53" s="17">
        <v>0.1</v>
      </c>
    </row>
    <row r="54" spans="1:7" x14ac:dyDescent="0.25">
      <c r="A54" s="145" t="s">
        <v>50</v>
      </c>
      <c r="B54" s="146"/>
      <c r="C54" s="146"/>
      <c r="D54" s="146"/>
      <c r="E54" s="146"/>
      <c r="F54" s="147"/>
      <c r="G54" s="76">
        <v>10000</v>
      </c>
    </row>
    <row r="55" spans="1:7" x14ac:dyDescent="0.25">
      <c r="A55" s="145" t="s">
        <v>51</v>
      </c>
      <c r="B55" s="146"/>
      <c r="C55" s="146"/>
      <c r="D55" s="146"/>
      <c r="E55" s="146"/>
      <c r="F55" s="147"/>
      <c r="G55" s="76">
        <v>50000</v>
      </c>
    </row>
    <row r="56" spans="1:7" x14ac:dyDescent="0.25">
      <c r="A56" s="145" t="s">
        <v>52</v>
      </c>
      <c r="B56" s="146"/>
      <c r="C56" s="146"/>
      <c r="D56" s="146"/>
      <c r="E56" s="146"/>
      <c r="F56" s="147"/>
      <c r="G56" s="88">
        <v>25000</v>
      </c>
    </row>
    <row r="57" spans="1:7" x14ac:dyDescent="0.25">
      <c r="A57" s="145" t="s">
        <v>53</v>
      </c>
      <c r="B57" s="146"/>
      <c r="C57" s="146"/>
      <c r="D57" s="146"/>
      <c r="E57" s="146"/>
      <c r="F57" s="147"/>
      <c r="G57" s="11">
        <v>5</v>
      </c>
    </row>
    <row r="58" spans="1:7" x14ac:dyDescent="0.25">
      <c r="A58" s="145" t="s">
        <v>54</v>
      </c>
      <c r="B58" s="146"/>
      <c r="C58" s="146"/>
      <c r="D58" s="146"/>
      <c r="E58" s="146"/>
      <c r="F58" s="147"/>
      <c r="G58" s="86">
        <v>15000</v>
      </c>
    </row>
    <row r="59" spans="1:7" x14ac:dyDescent="0.25">
      <c r="A59" s="145" t="s">
        <v>55</v>
      </c>
      <c r="B59" s="146"/>
      <c r="C59" s="146"/>
      <c r="D59" s="146"/>
      <c r="E59" s="146"/>
      <c r="F59" s="147"/>
      <c r="G59" s="17">
        <v>0.02</v>
      </c>
    </row>
    <row r="60" spans="1:7" x14ac:dyDescent="0.25">
      <c r="A60" s="145" t="s">
        <v>56</v>
      </c>
      <c r="B60" s="146"/>
      <c r="C60" s="146"/>
      <c r="D60" s="146"/>
      <c r="E60" s="146"/>
      <c r="F60" s="147"/>
      <c r="G60" s="41">
        <v>1.4999999999999999E-2</v>
      </c>
    </row>
    <row r="61" spans="1:7" ht="15.75" thickBot="1" x14ac:dyDescent="0.3">
      <c r="A61" s="148" t="s">
        <v>57</v>
      </c>
      <c r="B61" s="149"/>
      <c r="C61" s="149"/>
      <c r="D61" s="149"/>
      <c r="E61" s="149"/>
      <c r="F61" s="150"/>
      <c r="G61" s="24">
        <v>0.5</v>
      </c>
    </row>
    <row r="62" spans="1:7" x14ac:dyDescent="0.25">
      <c r="A62" s="82" t="s">
        <v>58</v>
      </c>
      <c r="B62" s="83"/>
      <c r="C62" s="84"/>
      <c r="D62" s="84"/>
      <c r="E62" s="84"/>
      <c r="F62" s="84"/>
      <c r="G62" s="85">
        <v>0.08</v>
      </c>
    </row>
    <row r="63" spans="1:7" x14ac:dyDescent="0.25">
      <c r="A63" s="43"/>
      <c r="B63" s="44"/>
      <c r="G63" s="33"/>
    </row>
    <row r="64" spans="1:7" ht="15.75" thickBot="1" x14ac:dyDescent="0.3">
      <c r="A64" s="151" t="s">
        <v>59</v>
      </c>
      <c r="B64" s="151"/>
      <c r="C64" s="151"/>
      <c r="D64" s="151"/>
      <c r="E64" s="151"/>
      <c r="F64" s="151"/>
      <c r="G64" s="151"/>
    </row>
    <row r="65" spans="1:7" x14ac:dyDescent="0.25">
      <c r="A65" s="169" t="s">
        <v>60</v>
      </c>
      <c r="B65" s="170"/>
      <c r="C65" s="170"/>
      <c r="D65" s="170"/>
      <c r="E65" s="170"/>
      <c r="F65" s="171"/>
      <c r="G65" s="28">
        <v>4000</v>
      </c>
    </row>
    <row r="66" spans="1:7" x14ac:dyDescent="0.25">
      <c r="A66" s="145" t="s">
        <v>61</v>
      </c>
      <c r="B66" s="146"/>
      <c r="C66" s="146"/>
      <c r="D66" s="146"/>
      <c r="E66" s="146"/>
      <c r="F66" s="147"/>
      <c r="G66" s="11">
        <v>1.33</v>
      </c>
    </row>
    <row r="67" spans="1:7" x14ac:dyDescent="0.25">
      <c r="A67" s="145" t="s">
        <v>62</v>
      </c>
      <c r="B67" s="146"/>
      <c r="C67" s="146"/>
      <c r="D67" s="146"/>
      <c r="E67" s="146"/>
      <c r="F67" s="147"/>
      <c r="G67" s="11">
        <f>G65*G66</f>
        <v>5320</v>
      </c>
    </row>
    <row r="68" spans="1:7" x14ac:dyDescent="0.25">
      <c r="A68" s="145" t="s">
        <v>63</v>
      </c>
      <c r="B68" s="146"/>
      <c r="C68" s="146"/>
      <c r="D68" s="146"/>
      <c r="E68" s="146"/>
      <c r="F68" s="147"/>
      <c r="G68" s="17">
        <v>0.75</v>
      </c>
    </row>
    <row r="69" spans="1:7" x14ac:dyDescent="0.25">
      <c r="A69" s="145" t="s">
        <v>64</v>
      </c>
      <c r="B69" s="146"/>
      <c r="C69" s="146"/>
      <c r="D69" s="146"/>
      <c r="E69" s="146"/>
      <c r="F69" s="147"/>
      <c r="G69" s="11">
        <v>3000</v>
      </c>
    </row>
    <row r="70" spans="1:7" x14ac:dyDescent="0.25">
      <c r="A70" s="145" t="s">
        <v>65</v>
      </c>
      <c r="B70" s="146"/>
      <c r="C70" s="146"/>
      <c r="D70" s="146"/>
      <c r="E70" s="146"/>
      <c r="F70" s="147"/>
      <c r="G70" s="11">
        <v>1000</v>
      </c>
    </row>
    <row r="71" spans="1:7" x14ac:dyDescent="0.25">
      <c r="A71" s="145" t="s">
        <v>66</v>
      </c>
      <c r="B71" s="146"/>
      <c r="C71" s="146"/>
      <c r="D71" s="146"/>
      <c r="E71" s="146"/>
      <c r="F71" s="147"/>
      <c r="G71" s="11">
        <v>25</v>
      </c>
    </row>
    <row r="72" spans="1:7" x14ac:dyDescent="0.25">
      <c r="A72" s="145" t="s">
        <v>67</v>
      </c>
      <c r="B72" s="146"/>
      <c r="C72" s="146"/>
      <c r="D72" s="146"/>
      <c r="E72" s="146"/>
      <c r="F72" s="147"/>
      <c r="G72" s="11">
        <v>100</v>
      </c>
    </row>
    <row r="73" spans="1:7" x14ac:dyDescent="0.25">
      <c r="A73" s="145" t="s">
        <v>68</v>
      </c>
      <c r="B73" s="146"/>
      <c r="C73" s="146"/>
      <c r="D73" s="146"/>
      <c r="E73" s="146"/>
      <c r="F73" s="147"/>
      <c r="G73" s="11">
        <v>4</v>
      </c>
    </row>
    <row r="74" spans="1:7" ht="15.75" thickBot="1" x14ac:dyDescent="0.3">
      <c r="A74" s="148" t="s">
        <v>69</v>
      </c>
      <c r="B74" s="149"/>
      <c r="C74" s="149"/>
      <c r="D74" s="149"/>
      <c r="E74" s="149"/>
      <c r="F74" s="150"/>
      <c r="G74" s="21">
        <v>30</v>
      </c>
    </row>
    <row r="75" spans="1:7" x14ac:dyDescent="0.25">
      <c r="A75" s="155"/>
      <c r="B75" s="156"/>
      <c r="C75" s="156"/>
      <c r="D75" s="156"/>
      <c r="E75" s="156"/>
      <c r="F75" s="156"/>
      <c r="G75" s="45"/>
    </row>
    <row r="76" spans="1:7" x14ac:dyDescent="0.25">
      <c r="A76" s="9"/>
      <c r="G76" s="33"/>
    </row>
    <row r="77" spans="1:7" ht="15.75" thickBot="1" x14ac:dyDescent="0.3">
      <c r="A77" s="157" t="s">
        <v>70</v>
      </c>
      <c r="B77" s="158"/>
      <c r="C77" s="158"/>
      <c r="D77" s="158"/>
      <c r="E77" s="158"/>
      <c r="F77" s="158"/>
      <c r="G77" s="158"/>
    </row>
    <row r="78" spans="1:7" ht="15.75" thickBot="1" x14ac:dyDescent="0.3">
      <c r="A78" s="152" t="s">
        <v>71</v>
      </c>
      <c r="B78" s="153"/>
      <c r="C78" s="153"/>
      <c r="D78" s="153"/>
      <c r="E78" s="153"/>
      <c r="F78" s="154"/>
      <c r="G78" s="46" t="s">
        <v>72</v>
      </c>
    </row>
    <row r="79" spans="1:7" x14ac:dyDescent="0.25">
      <c r="A79" s="145" t="s">
        <v>73</v>
      </c>
      <c r="B79" s="146"/>
      <c r="C79" s="146"/>
      <c r="D79" s="146"/>
      <c r="E79" s="146"/>
      <c r="F79" s="147"/>
      <c r="G79" s="76">
        <v>3000</v>
      </c>
    </row>
    <row r="80" spans="1:7" x14ac:dyDescent="0.25">
      <c r="A80" s="145" t="s">
        <v>74</v>
      </c>
      <c r="B80" s="146"/>
      <c r="C80" s="146"/>
      <c r="D80" s="146"/>
      <c r="E80" s="146"/>
      <c r="F80" s="147"/>
      <c r="G80" s="76">
        <v>5000</v>
      </c>
    </row>
    <row r="81" spans="1:7" x14ac:dyDescent="0.25">
      <c r="A81" s="145" t="s">
        <v>75</v>
      </c>
      <c r="B81" s="146"/>
      <c r="C81" s="146"/>
      <c r="D81" s="146"/>
      <c r="E81" s="146"/>
      <c r="F81" s="147"/>
      <c r="G81" s="76">
        <v>1700</v>
      </c>
    </row>
    <row r="82" spans="1:7" x14ac:dyDescent="0.25">
      <c r="A82" s="145" t="s">
        <v>76</v>
      </c>
      <c r="B82" s="146"/>
      <c r="C82" s="146"/>
      <c r="D82" s="146"/>
      <c r="E82" s="146"/>
      <c r="F82" s="147"/>
      <c r="G82" s="76">
        <v>2000</v>
      </c>
    </row>
    <row r="83" spans="1:7" ht="15.75" thickBot="1" x14ac:dyDescent="0.3">
      <c r="A83" s="148" t="s">
        <v>77</v>
      </c>
      <c r="B83" s="149"/>
      <c r="C83" s="149"/>
      <c r="D83" s="149"/>
      <c r="E83" s="149"/>
      <c r="F83" s="150"/>
      <c r="G83" s="68">
        <v>1000000</v>
      </c>
    </row>
    <row r="84" spans="1:7" x14ac:dyDescent="0.25">
      <c r="A84" s="9"/>
      <c r="G84" s="33"/>
    </row>
    <row r="85" spans="1:7" ht="15.75" thickBot="1" x14ac:dyDescent="0.3">
      <c r="A85" s="151" t="s">
        <v>78</v>
      </c>
      <c r="B85" s="151"/>
      <c r="C85" s="151"/>
      <c r="D85" s="151"/>
      <c r="E85" s="151"/>
      <c r="F85" s="151"/>
      <c r="G85" s="151"/>
    </row>
    <row r="86" spans="1:7" ht="15.75" thickBot="1" x14ac:dyDescent="0.3">
      <c r="A86" s="142"/>
      <c r="B86" s="143"/>
      <c r="C86" s="143"/>
      <c r="D86" s="143"/>
      <c r="E86" s="143"/>
      <c r="F86" s="144"/>
      <c r="G86" s="47" t="s">
        <v>79</v>
      </c>
    </row>
    <row r="87" spans="1:7" ht="15.75" thickBot="1" x14ac:dyDescent="0.3">
      <c r="A87" s="70" t="s">
        <v>80</v>
      </c>
      <c r="B87" s="52"/>
      <c r="C87" s="52"/>
      <c r="D87" s="52"/>
      <c r="E87" s="52"/>
      <c r="F87" s="69"/>
      <c r="G87" s="75">
        <f>2400000</f>
        <v>2400000</v>
      </c>
    </row>
    <row r="88" spans="1:7" x14ac:dyDescent="0.25">
      <c r="A88" s="155" t="s">
        <v>81</v>
      </c>
      <c r="B88" s="156"/>
      <c r="C88" s="156"/>
      <c r="D88" s="156"/>
      <c r="E88" s="156"/>
      <c r="F88" s="165"/>
      <c r="G88" s="48"/>
    </row>
    <row r="89" spans="1:7" x14ac:dyDescent="0.25">
      <c r="A89" s="162" t="s">
        <v>11</v>
      </c>
      <c r="B89" s="163"/>
      <c r="C89" s="163"/>
      <c r="D89" s="163"/>
      <c r="E89" s="163"/>
      <c r="F89" s="164"/>
      <c r="G89" s="11">
        <v>30</v>
      </c>
    </row>
    <row r="90" spans="1:7" x14ac:dyDescent="0.25">
      <c r="A90" s="162" t="s">
        <v>82</v>
      </c>
      <c r="B90" s="163"/>
      <c r="C90" s="163"/>
      <c r="D90" s="163"/>
      <c r="E90" s="163"/>
      <c r="F90" s="164"/>
      <c r="G90" s="11">
        <v>15</v>
      </c>
    </row>
    <row r="91" spans="1:7" x14ac:dyDescent="0.25">
      <c r="A91" s="159" t="s">
        <v>13</v>
      </c>
      <c r="B91" s="160"/>
      <c r="C91" s="160"/>
      <c r="D91" s="160"/>
      <c r="E91" s="160"/>
      <c r="F91" s="161"/>
      <c r="G91" s="11">
        <v>5</v>
      </c>
    </row>
    <row r="92" spans="1:7" x14ac:dyDescent="0.25">
      <c r="A92" s="182" t="s">
        <v>83</v>
      </c>
      <c r="B92" s="183"/>
      <c r="C92" s="183"/>
      <c r="D92" s="183"/>
      <c r="E92" s="183"/>
      <c r="F92" s="184"/>
      <c r="G92" s="11">
        <v>30</v>
      </c>
    </row>
    <row r="93" spans="1:7" ht="15.75" thickBot="1" x14ac:dyDescent="0.3">
      <c r="A93" s="185" t="s">
        <v>84</v>
      </c>
      <c r="B93" s="186"/>
      <c r="C93" s="186"/>
      <c r="D93" s="186"/>
      <c r="E93" s="186"/>
      <c r="F93" s="187"/>
      <c r="G93" s="21">
        <v>30</v>
      </c>
    </row>
    <row r="94" spans="1:7" x14ac:dyDescent="0.25">
      <c r="A94" s="49"/>
      <c r="B94" s="1"/>
      <c r="C94" s="1"/>
      <c r="D94" s="1"/>
      <c r="E94" s="1"/>
      <c r="F94" s="1"/>
      <c r="G94" s="39"/>
    </row>
    <row r="95" spans="1:7" ht="15.75" thickBot="1" x14ac:dyDescent="0.3">
      <c r="A95" s="158" t="s">
        <v>85</v>
      </c>
      <c r="B95" s="158"/>
      <c r="C95" s="158"/>
      <c r="D95" s="158"/>
      <c r="E95" s="158"/>
      <c r="F95" s="158"/>
      <c r="G95" s="158"/>
    </row>
    <row r="96" spans="1:7" x14ac:dyDescent="0.25">
      <c r="A96" s="166" t="s">
        <v>86</v>
      </c>
      <c r="B96" s="167"/>
      <c r="C96" s="167"/>
      <c r="D96" s="167"/>
      <c r="E96" s="167"/>
      <c r="F96" s="167"/>
      <c r="G96" s="53">
        <v>0.15</v>
      </c>
    </row>
    <row r="97" spans="1:7" ht="15.75" thickBot="1" x14ac:dyDescent="0.3">
      <c r="A97" s="175" t="s">
        <v>87</v>
      </c>
      <c r="B97" s="176"/>
      <c r="C97" s="176"/>
      <c r="D97" s="176"/>
      <c r="E97" s="176"/>
      <c r="F97" s="176"/>
      <c r="G97" s="54">
        <v>0.1</v>
      </c>
    </row>
    <row r="98" spans="1:7" x14ac:dyDescent="0.25">
      <c r="A98" s="49"/>
      <c r="B98" s="39"/>
      <c r="C98" s="1"/>
      <c r="D98" s="1"/>
      <c r="E98" s="1"/>
      <c r="F98" s="1"/>
    </row>
    <row r="99" spans="1:7" ht="15.75" thickBot="1" x14ac:dyDescent="0.3">
      <c r="A99" s="158" t="s">
        <v>88</v>
      </c>
      <c r="B99" s="158"/>
      <c r="C99" s="158"/>
      <c r="D99" s="158"/>
      <c r="E99" s="158"/>
      <c r="F99" s="158"/>
      <c r="G99" s="158"/>
    </row>
    <row r="100" spans="1:7" x14ac:dyDescent="0.25">
      <c r="A100" s="166" t="s">
        <v>89</v>
      </c>
      <c r="B100" s="167"/>
      <c r="C100" s="167"/>
      <c r="D100" s="167"/>
      <c r="E100" s="167"/>
      <c r="F100" s="167"/>
      <c r="G100" s="53">
        <v>1</v>
      </c>
    </row>
    <row r="101" spans="1:7" ht="15.75" thickBot="1" x14ac:dyDescent="0.3">
      <c r="A101" s="175" t="s">
        <v>90</v>
      </c>
      <c r="B101" s="176"/>
      <c r="C101" s="176"/>
      <c r="D101" s="176"/>
      <c r="E101" s="176"/>
      <c r="F101" s="176"/>
      <c r="G101" s="54">
        <f>G100-1</f>
        <v>0</v>
      </c>
    </row>
    <row r="102" spans="1:7" ht="15.75" thickBot="1" x14ac:dyDescent="0.3">
      <c r="A102" s="2" t="s">
        <v>91</v>
      </c>
      <c r="B102" s="2"/>
      <c r="C102" s="2"/>
      <c r="D102" s="2"/>
      <c r="E102" s="2"/>
      <c r="F102" s="2"/>
      <c r="G102" s="51"/>
    </row>
    <row r="103" spans="1:7" ht="15.75" thickBot="1" x14ac:dyDescent="0.3">
      <c r="A103" s="152" t="s">
        <v>92</v>
      </c>
      <c r="B103" s="153"/>
      <c r="C103" s="153"/>
      <c r="D103" s="153"/>
      <c r="E103" s="153"/>
      <c r="F103" s="153"/>
      <c r="G103" s="71">
        <v>0.12</v>
      </c>
    </row>
    <row r="104" spans="1:7" ht="15.75" thickBot="1" x14ac:dyDescent="0.3">
      <c r="A104" s="9"/>
      <c r="B104" s="9"/>
      <c r="C104" s="9"/>
      <c r="D104" s="9"/>
      <c r="E104" s="9"/>
      <c r="F104" s="9"/>
      <c r="G104" s="33"/>
    </row>
    <row r="105" spans="1:7" ht="15.75" thickBot="1" x14ac:dyDescent="0.3">
      <c r="A105" s="180" t="s">
        <v>93</v>
      </c>
      <c r="B105" s="181"/>
      <c r="C105" s="181"/>
      <c r="D105" s="181"/>
      <c r="E105" s="181"/>
      <c r="F105" s="181"/>
      <c r="G105" s="55">
        <v>0.25169999999999998</v>
      </c>
    </row>
    <row r="106" spans="1:7" x14ac:dyDescent="0.25">
      <c r="A106" s="9"/>
      <c r="G106" s="33"/>
    </row>
    <row r="107" spans="1:7" x14ac:dyDescent="0.25">
      <c r="A107" s="72" t="s">
        <v>95</v>
      </c>
      <c r="B107" s="72"/>
      <c r="C107" s="72"/>
      <c r="D107" s="72"/>
      <c r="E107" s="72"/>
      <c r="F107" s="72"/>
      <c r="G107" s="72"/>
    </row>
  </sheetData>
  <mergeCells count="72">
    <mergeCell ref="A99:G99"/>
    <mergeCell ref="A100:F100"/>
    <mergeCell ref="A105:F105"/>
    <mergeCell ref="A92:F92"/>
    <mergeCell ref="A93:F93"/>
    <mergeCell ref="A95:G95"/>
    <mergeCell ref="A96:F96"/>
    <mergeCell ref="A97:F97"/>
    <mergeCell ref="A103:F103"/>
    <mergeCell ref="A101:F101"/>
    <mergeCell ref="A48:D48"/>
    <mergeCell ref="A49:D49"/>
    <mergeCell ref="A50:E50"/>
    <mergeCell ref="A60:F60"/>
    <mergeCell ref="A61:F61"/>
    <mergeCell ref="A54:F54"/>
    <mergeCell ref="A53:F53"/>
    <mergeCell ref="A52:F52"/>
    <mergeCell ref="A25:F25"/>
    <mergeCell ref="A1:G1"/>
    <mergeCell ref="A6:G6"/>
    <mergeCell ref="A24:G24"/>
    <mergeCell ref="A44:D44"/>
    <mergeCell ref="A26:F26"/>
    <mergeCell ref="A27:F27"/>
    <mergeCell ref="A29:G29"/>
    <mergeCell ref="A38:D38"/>
    <mergeCell ref="A39:D39"/>
    <mergeCell ref="A45:D45"/>
    <mergeCell ref="A32:D32"/>
    <mergeCell ref="A33:D33"/>
    <mergeCell ref="A34:D34"/>
    <mergeCell ref="A35:D35"/>
    <mergeCell ref="A36:D36"/>
    <mergeCell ref="A40:E40"/>
    <mergeCell ref="A42:G42"/>
    <mergeCell ref="A65:F65"/>
    <mergeCell ref="A66:F66"/>
    <mergeCell ref="A67:F67"/>
    <mergeCell ref="A68:F68"/>
    <mergeCell ref="A59:F59"/>
    <mergeCell ref="A64:G64"/>
    <mergeCell ref="A91:F91"/>
    <mergeCell ref="A90:F90"/>
    <mergeCell ref="A89:F89"/>
    <mergeCell ref="A88:F88"/>
    <mergeCell ref="A30:D30"/>
    <mergeCell ref="A31:D31"/>
    <mergeCell ref="A37:D37"/>
    <mergeCell ref="A43:D43"/>
    <mergeCell ref="A46:D46"/>
    <mergeCell ref="A47:D47"/>
    <mergeCell ref="A58:F58"/>
    <mergeCell ref="A57:F57"/>
    <mergeCell ref="A56:F56"/>
    <mergeCell ref="A55:F55"/>
    <mergeCell ref="A73:F73"/>
    <mergeCell ref="A69:F69"/>
    <mergeCell ref="A70:F70"/>
    <mergeCell ref="A71:F71"/>
    <mergeCell ref="A72:F72"/>
    <mergeCell ref="A79:F79"/>
    <mergeCell ref="A78:F78"/>
    <mergeCell ref="A74:F74"/>
    <mergeCell ref="A75:F75"/>
    <mergeCell ref="A77:G77"/>
    <mergeCell ref="A86:F86"/>
    <mergeCell ref="A81:F81"/>
    <mergeCell ref="A80:F80"/>
    <mergeCell ref="A82:F82"/>
    <mergeCell ref="A83:F83"/>
    <mergeCell ref="A85:G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00D7-56CA-49F3-B2A5-F33CD287635A}">
  <dimension ref="A1:D9"/>
  <sheetViews>
    <sheetView tabSelected="1" workbookViewId="0">
      <selection activeCell="C1" sqref="C1"/>
    </sheetView>
  </sheetViews>
  <sheetFormatPr defaultRowHeight="15" x14ac:dyDescent="0.25"/>
  <cols>
    <col min="1" max="1" width="14.5703125" bestFit="1" customWidth="1"/>
    <col min="3" max="3" width="13" customWidth="1"/>
    <col min="4" max="4" width="14.85546875" bestFit="1" customWidth="1"/>
  </cols>
  <sheetData>
    <row r="1" spans="1:4" x14ac:dyDescent="0.25">
      <c r="A1" s="90" t="s">
        <v>96</v>
      </c>
      <c r="B1" t="s">
        <v>97</v>
      </c>
      <c r="C1" s="92" t="s">
        <v>102</v>
      </c>
      <c r="D1">
        <f>VLOOKUP(C1,A3:B9,2,0)</f>
        <v>100000</v>
      </c>
    </row>
    <row r="3" spans="1:4" x14ac:dyDescent="0.25">
      <c r="A3" t="s">
        <v>98</v>
      </c>
      <c r="B3">
        <v>1</v>
      </c>
    </row>
    <row r="4" spans="1:4" x14ac:dyDescent="0.25">
      <c r="A4" t="s">
        <v>99</v>
      </c>
      <c r="B4">
        <v>10</v>
      </c>
    </row>
    <row r="5" spans="1:4" x14ac:dyDescent="0.25">
      <c r="A5" t="s">
        <v>100</v>
      </c>
      <c r="B5">
        <v>100</v>
      </c>
    </row>
    <row r="6" spans="1:4" x14ac:dyDescent="0.25">
      <c r="A6" t="s">
        <v>101</v>
      </c>
      <c r="B6">
        <v>1000</v>
      </c>
    </row>
    <row r="7" spans="1:4" x14ac:dyDescent="0.25">
      <c r="A7" t="s">
        <v>102</v>
      </c>
      <c r="B7">
        <v>100000</v>
      </c>
    </row>
    <row r="8" spans="1:4" x14ac:dyDescent="0.25">
      <c r="A8" t="s">
        <v>103</v>
      </c>
      <c r="B8">
        <v>1000000</v>
      </c>
    </row>
    <row r="9" spans="1:4" x14ac:dyDescent="0.25">
      <c r="A9" t="s">
        <v>104</v>
      </c>
      <c r="B9">
        <v>10000000</v>
      </c>
    </row>
  </sheetData>
  <dataValidations count="1">
    <dataValidation type="list" allowBlank="1" showInputMessage="1" showErrorMessage="1" sqref="C1" xr:uid="{371D6F00-4B10-48E9-865D-DB7C79D2FEF1}">
      <formula1>$A$3:$A$9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B583-D4AB-4CA0-88C4-5F3F13BCA1B4}">
  <dimension ref="A1:AN77"/>
  <sheetViews>
    <sheetView topLeftCell="A49" workbookViewId="0">
      <pane xSplit="3" topLeftCell="D1" activePane="topRight" state="frozen"/>
      <selection pane="topRight" activeCell="A72" sqref="A72"/>
    </sheetView>
  </sheetViews>
  <sheetFormatPr defaultRowHeight="15" x14ac:dyDescent="0.25"/>
  <cols>
    <col min="1" max="1" width="27.140625" bestFit="1" customWidth="1"/>
    <col min="5" max="7" width="12.5703125" style="106" bestFit="1" customWidth="1"/>
    <col min="8" max="40" width="13.7109375" style="106" bestFit="1" customWidth="1"/>
    <col min="41" max="41" width="9.7109375" style="106" bestFit="1" customWidth="1"/>
    <col min="42" max="16384" width="9.140625" style="106"/>
  </cols>
  <sheetData>
    <row r="1" spans="1:40" customFormat="1" x14ac:dyDescent="0.25">
      <c r="A1" s="9" t="s">
        <v>105</v>
      </c>
      <c r="B1" s="92" t="str">
        <f>Converter!C1</f>
        <v>Lakhs</v>
      </c>
    </row>
    <row r="2" spans="1:40" customFormat="1" x14ac:dyDescent="0.25">
      <c r="E2" s="94">
        <v>1</v>
      </c>
      <c r="F2" s="94">
        <v>2</v>
      </c>
      <c r="G2" s="94">
        <v>3</v>
      </c>
      <c r="H2" s="94">
        <v>4</v>
      </c>
      <c r="I2" s="94">
        <v>5</v>
      </c>
      <c r="J2" s="94">
        <v>6</v>
      </c>
      <c r="K2" s="94">
        <v>7</v>
      </c>
      <c r="L2" s="94">
        <v>8</v>
      </c>
      <c r="M2" s="94">
        <v>9</v>
      </c>
      <c r="N2" s="94">
        <v>10</v>
      </c>
      <c r="O2" s="94">
        <v>11</v>
      </c>
      <c r="P2" s="94">
        <v>12</v>
      </c>
      <c r="Q2" s="94">
        <v>13</v>
      </c>
      <c r="R2" s="94">
        <v>14</v>
      </c>
      <c r="S2" s="94">
        <v>15</v>
      </c>
      <c r="T2" s="94">
        <v>16</v>
      </c>
      <c r="U2" s="94">
        <v>17</v>
      </c>
      <c r="V2" s="94">
        <v>18</v>
      </c>
      <c r="W2" s="94">
        <v>19</v>
      </c>
      <c r="X2" s="94">
        <v>20</v>
      </c>
      <c r="Y2" s="94">
        <v>21</v>
      </c>
      <c r="Z2" s="94">
        <v>22</v>
      </c>
      <c r="AA2" s="94">
        <v>23</v>
      </c>
      <c r="AB2" s="94">
        <v>24</v>
      </c>
      <c r="AC2" s="94">
        <v>25</v>
      </c>
      <c r="AD2" s="94">
        <v>26</v>
      </c>
      <c r="AE2" s="94">
        <v>27</v>
      </c>
      <c r="AF2" s="94">
        <v>28</v>
      </c>
      <c r="AG2" s="94">
        <v>29</v>
      </c>
      <c r="AH2" s="94">
        <v>30</v>
      </c>
      <c r="AI2" s="94">
        <v>31</v>
      </c>
      <c r="AJ2" s="94">
        <v>32</v>
      </c>
      <c r="AK2" s="94">
        <v>33</v>
      </c>
      <c r="AL2" s="94">
        <v>34</v>
      </c>
      <c r="AM2" s="94">
        <v>35</v>
      </c>
      <c r="AN2" s="94">
        <v>36</v>
      </c>
    </row>
    <row r="3" spans="1:40" customFormat="1" x14ac:dyDescent="0.25">
      <c r="E3" s="95">
        <f>EOMONTH(Assumptions!G3,0)</f>
        <v>43951</v>
      </c>
      <c r="F3" s="95">
        <f>EOMONTH(E3,1)</f>
        <v>43982</v>
      </c>
      <c r="G3" s="95">
        <f>EOMONTH(E3,1+1)</f>
        <v>44012</v>
      </c>
      <c r="H3" s="95">
        <f>EOMONTH(F3,1+1)</f>
        <v>44043</v>
      </c>
      <c r="I3" s="95">
        <f>EOMONTH(G3,1+1)</f>
        <v>44074</v>
      </c>
      <c r="J3" s="95">
        <f t="shared" ref="J3:AN3" si="0">EOMONTH(H3,1+1)</f>
        <v>44104</v>
      </c>
      <c r="K3" s="95">
        <f t="shared" si="0"/>
        <v>44135</v>
      </c>
      <c r="L3" s="95">
        <f t="shared" si="0"/>
        <v>44165</v>
      </c>
      <c r="M3" s="95">
        <f t="shared" si="0"/>
        <v>44196</v>
      </c>
      <c r="N3" s="95">
        <f t="shared" si="0"/>
        <v>44227</v>
      </c>
      <c r="O3" s="95">
        <f t="shared" si="0"/>
        <v>44255</v>
      </c>
      <c r="P3" s="95">
        <f t="shared" si="0"/>
        <v>44286</v>
      </c>
      <c r="Q3" s="95">
        <f t="shared" si="0"/>
        <v>44316</v>
      </c>
      <c r="R3" s="95">
        <f t="shared" si="0"/>
        <v>44347</v>
      </c>
      <c r="S3" s="95">
        <f t="shared" si="0"/>
        <v>44377</v>
      </c>
      <c r="T3" s="95">
        <f t="shared" si="0"/>
        <v>44408</v>
      </c>
      <c r="U3" s="95">
        <f t="shared" si="0"/>
        <v>44439</v>
      </c>
      <c r="V3" s="95">
        <f t="shared" si="0"/>
        <v>44469</v>
      </c>
      <c r="W3" s="95">
        <f t="shared" si="0"/>
        <v>44500</v>
      </c>
      <c r="X3" s="95">
        <f t="shared" si="0"/>
        <v>44530</v>
      </c>
      <c r="Y3" s="95">
        <f t="shared" si="0"/>
        <v>44561</v>
      </c>
      <c r="Z3" s="95">
        <f t="shared" si="0"/>
        <v>44592</v>
      </c>
      <c r="AA3" s="95">
        <f t="shared" si="0"/>
        <v>44620</v>
      </c>
      <c r="AB3" s="95">
        <f t="shared" si="0"/>
        <v>44651</v>
      </c>
      <c r="AC3" s="95">
        <f t="shared" si="0"/>
        <v>44681</v>
      </c>
      <c r="AD3" s="95">
        <f t="shared" si="0"/>
        <v>44712</v>
      </c>
      <c r="AE3" s="95">
        <f t="shared" si="0"/>
        <v>44742</v>
      </c>
      <c r="AF3" s="95">
        <f t="shared" si="0"/>
        <v>44773</v>
      </c>
      <c r="AG3" s="95">
        <f t="shared" si="0"/>
        <v>44804</v>
      </c>
      <c r="AH3" s="95">
        <f t="shared" si="0"/>
        <v>44834</v>
      </c>
      <c r="AI3" s="95">
        <f t="shared" si="0"/>
        <v>44865</v>
      </c>
      <c r="AJ3" s="95">
        <f t="shared" si="0"/>
        <v>44895</v>
      </c>
      <c r="AK3" s="95">
        <f t="shared" si="0"/>
        <v>44926</v>
      </c>
      <c r="AL3" s="95">
        <f t="shared" si="0"/>
        <v>44957</v>
      </c>
      <c r="AM3" s="95">
        <f t="shared" si="0"/>
        <v>44985</v>
      </c>
      <c r="AN3" s="95">
        <f t="shared" si="0"/>
        <v>45016</v>
      </c>
    </row>
    <row r="4" spans="1:40" x14ac:dyDescent="0.25">
      <c r="A4" t="s">
        <v>106</v>
      </c>
      <c r="E4" s="106">
        <f>IF(E3&gt;Assumptions!$G$5,DAY('Monthly Revenue'!E3),0)</f>
        <v>0</v>
      </c>
      <c r="F4" s="106">
        <f>IF(F3&gt;Assumptions!$G$5,DAY('Monthly Revenue'!F3),0)</f>
        <v>0</v>
      </c>
      <c r="G4" s="106">
        <f>IF(G3&gt;Assumptions!$G$5,DAY('Monthly Revenue'!G3),0)</f>
        <v>0</v>
      </c>
      <c r="H4" s="110">
        <f>IF(H3&gt;Assumptions!$G$5,DAY('Monthly Revenue'!H3),0)</f>
        <v>31</v>
      </c>
      <c r="I4" s="110">
        <f>IF(I3&gt;Assumptions!$G$5,DAY('Monthly Revenue'!I3),0)</f>
        <v>31</v>
      </c>
      <c r="J4" s="110">
        <f>IF(J3&gt;Assumptions!$G$5,DAY('Monthly Revenue'!J3),0)</f>
        <v>30</v>
      </c>
      <c r="K4" s="110">
        <f>IF(K3&gt;Assumptions!$G$5,DAY('Monthly Revenue'!K3),0)</f>
        <v>31</v>
      </c>
      <c r="L4" s="110">
        <f>IF(L3&gt;Assumptions!$G$5,DAY('Monthly Revenue'!L3),0)</f>
        <v>30</v>
      </c>
      <c r="M4" s="110">
        <f>IF(M3&gt;Assumptions!$G$5,DAY('Monthly Revenue'!M3),0)</f>
        <v>31</v>
      </c>
      <c r="N4" s="110">
        <f>IF(N3&gt;Assumptions!$G$5,DAY('Monthly Revenue'!N3),0)</f>
        <v>31</v>
      </c>
      <c r="O4" s="110">
        <f>IF(O3&gt;Assumptions!$G$5,DAY('Monthly Revenue'!O3),0)</f>
        <v>28</v>
      </c>
      <c r="P4" s="110">
        <f>IF(P3&gt;Assumptions!$G$5,DAY('Monthly Revenue'!P3),0)</f>
        <v>31</v>
      </c>
      <c r="Q4" s="110">
        <f>IF(Q3&gt;Assumptions!$G$5,DAY('Monthly Revenue'!Q3),0)</f>
        <v>30</v>
      </c>
      <c r="R4" s="110">
        <f>IF(R3&gt;Assumptions!$G$5,DAY('Monthly Revenue'!R3),0)</f>
        <v>31</v>
      </c>
      <c r="S4" s="110">
        <f>IF(S3&gt;Assumptions!$G$5,DAY('Monthly Revenue'!S3),0)</f>
        <v>30</v>
      </c>
      <c r="T4" s="110">
        <f>IF(T3&gt;Assumptions!$G$5,DAY('Monthly Revenue'!T3),0)</f>
        <v>31</v>
      </c>
      <c r="U4" s="110">
        <f>IF(U3&gt;Assumptions!$G$5,DAY('Monthly Revenue'!U3),0)</f>
        <v>31</v>
      </c>
      <c r="V4" s="110">
        <f>IF(V3&gt;Assumptions!$G$5,DAY('Monthly Revenue'!V3),0)</f>
        <v>30</v>
      </c>
      <c r="W4" s="110">
        <f>IF(W3&gt;Assumptions!$G$5,DAY('Monthly Revenue'!W3),0)</f>
        <v>31</v>
      </c>
      <c r="X4" s="110">
        <f>IF(X3&gt;Assumptions!$G$5,DAY('Monthly Revenue'!X3),0)</f>
        <v>30</v>
      </c>
      <c r="Y4" s="110">
        <f>IF(Y3&gt;Assumptions!$G$5,DAY('Monthly Revenue'!Y3),0)</f>
        <v>31</v>
      </c>
      <c r="Z4" s="110">
        <f>IF(Z3&gt;Assumptions!$G$5,DAY('Monthly Revenue'!Z3),0)</f>
        <v>31</v>
      </c>
      <c r="AA4" s="110">
        <f>IF(AA3&gt;Assumptions!$G$5,DAY('Monthly Revenue'!AA3),0)</f>
        <v>28</v>
      </c>
      <c r="AB4" s="110">
        <f>IF(AB3&gt;Assumptions!$G$5,DAY('Monthly Revenue'!AB3),0)</f>
        <v>31</v>
      </c>
      <c r="AC4" s="110">
        <f>IF(AC3&gt;Assumptions!$G$5,DAY('Monthly Revenue'!AC3),0)</f>
        <v>30</v>
      </c>
      <c r="AD4" s="110">
        <f>IF(AD3&gt;Assumptions!$G$5,DAY('Monthly Revenue'!AD3),0)</f>
        <v>31</v>
      </c>
      <c r="AE4" s="110">
        <f>IF(AE3&gt;Assumptions!$G$5,DAY('Monthly Revenue'!AE3),0)</f>
        <v>30</v>
      </c>
      <c r="AF4" s="110">
        <f>IF(AF3&gt;Assumptions!$G$5,DAY('Monthly Revenue'!AF3),0)</f>
        <v>31</v>
      </c>
      <c r="AG4" s="110">
        <f>IF(AG3&gt;Assumptions!$G$5,DAY('Monthly Revenue'!AG3),0)</f>
        <v>31</v>
      </c>
      <c r="AH4" s="110">
        <f>IF(AH3&gt;Assumptions!$G$5,DAY('Monthly Revenue'!AH3),0)</f>
        <v>30</v>
      </c>
      <c r="AI4" s="110">
        <f>IF(AI3&gt;Assumptions!$G$5,DAY('Monthly Revenue'!AI3),0)</f>
        <v>31</v>
      </c>
      <c r="AJ4" s="110">
        <f>IF(AJ3&gt;Assumptions!$G$5,DAY('Monthly Revenue'!AJ3),0)</f>
        <v>30</v>
      </c>
      <c r="AK4" s="110">
        <f>IF(AK3&gt;Assumptions!$G$5,DAY('Monthly Revenue'!AK3),0)</f>
        <v>31</v>
      </c>
      <c r="AL4" s="110">
        <f>IF(AL3&gt;Assumptions!$G$5,DAY('Monthly Revenue'!AL3),0)</f>
        <v>31</v>
      </c>
      <c r="AM4" s="110">
        <f>IF(AM3&gt;Assumptions!$G$5,DAY('Monthly Revenue'!AM3),0)</f>
        <v>28</v>
      </c>
      <c r="AN4" s="110">
        <f>IF(AN3&gt;Assumptions!$G$5,DAY('Monthly Revenue'!AN3),0)</f>
        <v>31</v>
      </c>
    </row>
    <row r="5" spans="1:40" x14ac:dyDescent="0.25">
      <c r="A5" t="s">
        <v>107</v>
      </c>
      <c r="E5" s="106">
        <f>IF(E4&gt;0,NETWORKDAYS(D3+1,E3),0)</f>
        <v>0</v>
      </c>
      <c r="F5" s="106">
        <f t="shared" ref="F5:AN5" si="1">IF(F4&gt;0,NETWORKDAYS(E3+1,F3),0)</f>
        <v>0</v>
      </c>
      <c r="G5" s="106">
        <f t="shared" si="1"/>
        <v>0</v>
      </c>
      <c r="H5" s="110">
        <f t="shared" si="1"/>
        <v>23</v>
      </c>
      <c r="I5" s="110">
        <f t="shared" si="1"/>
        <v>21</v>
      </c>
      <c r="J5" s="110">
        <f t="shared" si="1"/>
        <v>22</v>
      </c>
      <c r="K5" s="110">
        <f t="shared" si="1"/>
        <v>22</v>
      </c>
      <c r="L5" s="110">
        <f t="shared" si="1"/>
        <v>21</v>
      </c>
      <c r="M5" s="110">
        <f t="shared" si="1"/>
        <v>23</v>
      </c>
      <c r="N5" s="110">
        <f t="shared" si="1"/>
        <v>21</v>
      </c>
      <c r="O5" s="110">
        <f t="shared" si="1"/>
        <v>20</v>
      </c>
      <c r="P5" s="110">
        <f t="shared" si="1"/>
        <v>23</v>
      </c>
      <c r="Q5" s="110">
        <f t="shared" si="1"/>
        <v>22</v>
      </c>
      <c r="R5" s="110">
        <f t="shared" si="1"/>
        <v>21</v>
      </c>
      <c r="S5" s="110">
        <f t="shared" si="1"/>
        <v>22</v>
      </c>
      <c r="T5" s="110">
        <f t="shared" si="1"/>
        <v>22</v>
      </c>
      <c r="U5" s="110">
        <f t="shared" si="1"/>
        <v>22</v>
      </c>
      <c r="V5" s="110">
        <f t="shared" si="1"/>
        <v>22</v>
      </c>
      <c r="W5" s="110">
        <f t="shared" si="1"/>
        <v>21</v>
      </c>
      <c r="X5" s="110">
        <f t="shared" si="1"/>
        <v>22</v>
      </c>
      <c r="Y5" s="110">
        <f t="shared" si="1"/>
        <v>23</v>
      </c>
      <c r="Z5" s="110">
        <f t="shared" si="1"/>
        <v>21</v>
      </c>
      <c r="AA5" s="110">
        <f t="shared" si="1"/>
        <v>20</v>
      </c>
      <c r="AB5" s="110">
        <f t="shared" si="1"/>
        <v>23</v>
      </c>
      <c r="AC5" s="110">
        <f t="shared" si="1"/>
        <v>21</v>
      </c>
      <c r="AD5" s="110">
        <f t="shared" si="1"/>
        <v>22</v>
      </c>
      <c r="AE5" s="110">
        <f t="shared" si="1"/>
        <v>22</v>
      </c>
      <c r="AF5" s="110">
        <f t="shared" si="1"/>
        <v>21</v>
      </c>
      <c r="AG5" s="110">
        <f t="shared" si="1"/>
        <v>23</v>
      </c>
      <c r="AH5" s="110">
        <f t="shared" si="1"/>
        <v>22</v>
      </c>
      <c r="AI5" s="110">
        <f t="shared" si="1"/>
        <v>21</v>
      </c>
      <c r="AJ5" s="110">
        <f t="shared" si="1"/>
        <v>22</v>
      </c>
      <c r="AK5" s="110">
        <f t="shared" si="1"/>
        <v>22</v>
      </c>
      <c r="AL5" s="110">
        <f t="shared" si="1"/>
        <v>22</v>
      </c>
      <c r="AM5" s="110">
        <f t="shared" si="1"/>
        <v>20</v>
      </c>
      <c r="AN5" s="110">
        <f t="shared" si="1"/>
        <v>23</v>
      </c>
    </row>
    <row r="6" spans="1:40" x14ac:dyDescent="0.25">
      <c r="A6" t="s">
        <v>108</v>
      </c>
      <c r="E6" s="106">
        <f>E4-E5</f>
        <v>0</v>
      </c>
      <c r="F6" s="106">
        <f t="shared" ref="F6:AN6" si="2">F4-F5</f>
        <v>0</v>
      </c>
      <c r="G6" s="106">
        <f t="shared" si="2"/>
        <v>0</v>
      </c>
      <c r="H6" s="110">
        <f t="shared" si="2"/>
        <v>8</v>
      </c>
      <c r="I6" s="110">
        <f t="shared" si="2"/>
        <v>10</v>
      </c>
      <c r="J6" s="110">
        <f t="shared" si="2"/>
        <v>8</v>
      </c>
      <c r="K6" s="110">
        <f t="shared" si="2"/>
        <v>9</v>
      </c>
      <c r="L6" s="110">
        <f t="shared" si="2"/>
        <v>9</v>
      </c>
      <c r="M6" s="110">
        <f t="shared" si="2"/>
        <v>8</v>
      </c>
      <c r="N6" s="110">
        <f t="shared" si="2"/>
        <v>10</v>
      </c>
      <c r="O6" s="110">
        <f t="shared" si="2"/>
        <v>8</v>
      </c>
      <c r="P6" s="110">
        <f t="shared" si="2"/>
        <v>8</v>
      </c>
      <c r="Q6" s="110">
        <f t="shared" si="2"/>
        <v>8</v>
      </c>
      <c r="R6" s="110">
        <f t="shared" si="2"/>
        <v>10</v>
      </c>
      <c r="S6" s="110">
        <f t="shared" si="2"/>
        <v>8</v>
      </c>
      <c r="T6" s="110">
        <f t="shared" si="2"/>
        <v>9</v>
      </c>
      <c r="U6" s="110">
        <f t="shared" si="2"/>
        <v>9</v>
      </c>
      <c r="V6" s="110">
        <f t="shared" si="2"/>
        <v>8</v>
      </c>
      <c r="W6" s="110">
        <f t="shared" si="2"/>
        <v>10</v>
      </c>
      <c r="X6" s="110">
        <f t="shared" si="2"/>
        <v>8</v>
      </c>
      <c r="Y6" s="110">
        <f t="shared" si="2"/>
        <v>8</v>
      </c>
      <c r="Z6" s="110">
        <f t="shared" si="2"/>
        <v>10</v>
      </c>
      <c r="AA6" s="110">
        <f t="shared" si="2"/>
        <v>8</v>
      </c>
      <c r="AB6" s="110">
        <f t="shared" si="2"/>
        <v>8</v>
      </c>
      <c r="AC6" s="110">
        <f t="shared" si="2"/>
        <v>9</v>
      </c>
      <c r="AD6" s="110">
        <f t="shared" si="2"/>
        <v>9</v>
      </c>
      <c r="AE6" s="110">
        <f t="shared" si="2"/>
        <v>8</v>
      </c>
      <c r="AF6" s="110">
        <f t="shared" si="2"/>
        <v>10</v>
      </c>
      <c r="AG6" s="110">
        <f t="shared" si="2"/>
        <v>8</v>
      </c>
      <c r="AH6" s="110">
        <f t="shared" si="2"/>
        <v>8</v>
      </c>
      <c r="AI6" s="110">
        <f t="shared" si="2"/>
        <v>10</v>
      </c>
      <c r="AJ6" s="110">
        <f t="shared" si="2"/>
        <v>8</v>
      </c>
      <c r="AK6" s="110">
        <f t="shared" si="2"/>
        <v>9</v>
      </c>
      <c r="AL6" s="110">
        <f t="shared" si="2"/>
        <v>9</v>
      </c>
      <c r="AM6" s="110">
        <f t="shared" si="2"/>
        <v>8</v>
      </c>
      <c r="AN6" s="110">
        <f t="shared" si="2"/>
        <v>8</v>
      </c>
    </row>
    <row r="7" spans="1:40" x14ac:dyDescent="0.25"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</row>
    <row r="8" spans="1:40" x14ac:dyDescent="0.25">
      <c r="A8" s="9" t="s">
        <v>112</v>
      </c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</row>
    <row r="9" spans="1:40" x14ac:dyDescent="0.25">
      <c r="A9" s="102" t="s">
        <v>6</v>
      </c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</row>
    <row r="10" spans="1:40" x14ac:dyDescent="0.25">
      <c r="A10" t="s">
        <v>109</v>
      </c>
      <c r="E10" s="106">
        <f>IF(E$5&gt;0,MIN(MAX(Assumptions!$B$19*Assumptions!$B$18,'Monthly Revenue'!D10*(1+Assumptions!$B$20)),Assumptions!$B$21),0)</f>
        <v>0</v>
      </c>
      <c r="F10" s="106">
        <f>IF(F$5&gt;0,MIN(MAX(Assumptions!$B$19*Assumptions!$B$18,'Monthly Revenue'!E10*(1+Assumptions!$B$20)),Assumptions!$B$21),0)</f>
        <v>0</v>
      </c>
      <c r="G10" s="106">
        <f>IF(G$5&gt;0,MIN(MAX(Assumptions!$B$19*Assumptions!$B$18,'Monthly Revenue'!F10*(1+Assumptions!$B$20)),Assumptions!$B$21),0)</f>
        <v>0</v>
      </c>
      <c r="H10" s="110">
        <f>IF(H$5&gt;0,MIN(MAX(Assumptions!$B$19*Assumptions!$B$18,'Monthly Revenue'!G10*(1+Assumptions!$B$20)),Assumptions!$B$21),0)</f>
        <v>20</v>
      </c>
      <c r="I10" s="110">
        <f>IF(I$5&gt;0,MIN(MAX(Assumptions!$B$19*Assumptions!$B$18,'Monthly Revenue'!H10*(1+Assumptions!$B$20)),Assumptions!$B$21),0)</f>
        <v>20.399999999999999</v>
      </c>
      <c r="J10" s="110">
        <f>IF(J$5&gt;0,MIN(MAX(Assumptions!$B$19*Assumptions!$B$18,'Monthly Revenue'!I10*(1+Assumptions!$B$20)),Assumptions!$B$21),0)</f>
        <v>20.808</v>
      </c>
      <c r="K10" s="110">
        <f>IF(K$5&gt;0,MIN(MAX(Assumptions!$B$19*Assumptions!$B$18,'Monthly Revenue'!J10*(1+Assumptions!$B$20)),Assumptions!$B$21),0)</f>
        <v>21.224160000000001</v>
      </c>
      <c r="L10" s="110">
        <f>IF(L$5&gt;0,MIN(MAX(Assumptions!$B$19*Assumptions!$B$18,'Monthly Revenue'!K10*(1+Assumptions!$B$20)),Assumptions!$B$21),0)</f>
        <v>21.648643200000002</v>
      </c>
      <c r="M10" s="110">
        <f>IF(M$5&gt;0,MIN(MAX(Assumptions!$B$19*Assumptions!$B$18,'Monthly Revenue'!L10*(1+Assumptions!$B$20)),Assumptions!$B$21),0)</f>
        <v>22.081616064000002</v>
      </c>
      <c r="N10" s="110">
        <f>IF(N$5&gt;0,MIN(MAX(Assumptions!$B$19*Assumptions!$B$18,'Monthly Revenue'!M10*(1+Assumptions!$B$20)),Assumptions!$B$21),0)</f>
        <v>22.523248385280002</v>
      </c>
      <c r="O10" s="110">
        <f>IF(O$5&gt;0,MIN(MAX(Assumptions!$B$19*Assumptions!$B$18,'Monthly Revenue'!N10*(1+Assumptions!$B$20)),Assumptions!$B$21),0)</f>
        <v>22.973713352985602</v>
      </c>
      <c r="P10" s="110">
        <f>IF(P$5&gt;0,MIN(MAX(Assumptions!$B$19*Assumptions!$B$18,'Monthly Revenue'!O10*(1+Assumptions!$B$20)),Assumptions!$B$21),0)</f>
        <v>23.433187620045313</v>
      </c>
      <c r="Q10" s="110">
        <f>IF(Q$5&gt;0,MIN(MAX(Assumptions!$B$19*Assumptions!$B$18,'Monthly Revenue'!P10*(1+Assumptions!$B$20)),Assumptions!$B$21),0)</f>
        <v>23.90185137244622</v>
      </c>
      <c r="R10" s="110">
        <f>IF(R$5&gt;0,MIN(MAX(Assumptions!$B$19*Assumptions!$B$18,'Monthly Revenue'!Q10*(1+Assumptions!$B$20)),Assumptions!$B$21),0)</f>
        <v>24.379888399895144</v>
      </c>
      <c r="S10" s="110">
        <f>IF(S$5&gt;0,MIN(MAX(Assumptions!$B$19*Assumptions!$B$18,'Monthly Revenue'!R10*(1+Assumptions!$B$20)),Assumptions!$B$21),0)</f>
        <v>24.867486167893048</v>
      </c>
      <c r="T10" s="110">
        <f>IF(T$5&gt;0,MIN(MAX(Assumptions!$B$19*Assumptions!$B$18,'Monthly Revenue'!S10*(1+Assumptions!$B$20)),Assumptions!$B$21),0)</f>
        <v>25.364835891250909</v>
      </c>
      <c r="U10" s="110">
        <f>IF(U$5&gt;0,MIN(MAX(Assumptions!$B$19*Assumptions!$B$18,'Monthly Revenue'!T10*(1+Assumptions!$B$20)),Assumptions!$B$21),0)</f>
        <v>25.872132609075926</v>
      </c>
      <c r="V10" s="110">
        <f>IF(V$5&gt;0,MIN(MAX(Assumptions!$B$19*Assumptions!$B$18,'Monthly Revenue'!U10*(1+Assumptions!$B$20)),Assumptions!$B$21),0)</f>
        <v>26.389575261257445</v>
      </c>
      <c r="W10" s="110">
        <f>IF(W$5&gt;0,MIN(MAX(Assumptions!$B$19*Assumptions!$B$18,'Monthly Revenue'!V10*(1+Assumptions!$B$20)),Assumptions!$B$21),0)</f>
        <v>26.917366766482594</v>
      </c>
      <c r="X10" s="110">
        <f>IF(X$5&gt;0,MIN(MAX(Assumptions!$B$19*Assumptions!$B$18,'Monthly Revenue'!W10*(1+Assumptions!$B$20)),Assumptions!$B$21),0)</f>
        <v>27.455714101812248</v>
      </c>
      <c r="Y10" s="110">
        <f>IF(Y$5&gt;0,MIN(MAX(Assumptions!$B$19*Assumptions!$B$18,'Monthly Revenue'!X10*(1+Assumptions!$B$20)),Assumptions!$B$21),0)</f>
        <v>28.004828383848494</v>
      </c>
      <c r="Z10" s="110">
        <f>IF(Z$5&gt;0,MIN(MAX(Assumptions!$B$19*Assumptions!$B$18,'Monthly Revenue'!Y10*(1+Assumptions!$B$20)),Assumptions!$B$21),0)</f>
        <v>28.564924951525466</v>
      </c>
      <c r="AA10" s="110">
        <f>IF(AA$5&gt;0,MIN(MAX(Assumptions!$B$19*Assumptions!$B$18,'Monthly Revenue'!Z10*(1+Assumptions!$B$20)),Assumptions!$B$21),0)</f>
        <v>29.136223450555974</v>
      </c>
      <c r="AB10" s="110">
        <f>IF(AB$5&gt;0,MIN(MAX(Assumptions!$B$19*Assumptions!$B$18,'Monthly Revenue'!AA10*(1+Assumptions!$B$20)),Assumptions!$B$21),0)</f>
        <v>29.718947919567093</v>
      </c>
      <c r="AC10" s="110">
        <f>IF(AC$5&gt;0,MIN(MAX(Assumptions!$B$19*Assumptions!$B$18,'Monthly Revenue'!AB10*(1+Assumptions!$B$20)),Assumptions!$B$21),0)</f>
        <v>30.313326877958435</v>
      </c>
      <c r="AD10" s="110">
        <f>IF(AD$5&gt;0,MIN(MAX(Assumptions!$B$19*Assumptions!$B$18,'Monthly Revenue'!AC10*(1+Assumptions!$B$20)),Assumptions!$B$21),0)</f>
        <v>30.919593415517603</v>
      </c>
      <c r="AE10" s="110">
        <f>IF(AE$5&gt;0,MIN(MAX(Assumptions!$B$19*Assumptions!$B$18,'Monthly Revenue'!AD10*(1+Assumptions!$B$20)),Assumptions!$B$21),0)</f>
        <v>31.537985283827958</v>
      </c>
      <c r="AF10" s="110">
        <f>IF(AF$5&gt;0,MIN(MAX(Assumptions!$B$19*Assumptions!$B$18,'Monthly Revenue'!AE10*(1+Assumptions!$B$20)),Assumptions!$B$21),0)</f>
        <v>32.168744989504518</v>
      </c>
      <c r="AG10" s="110">
        <f>IF(AG$5&gt;0,MIN(MAX(Assumptions!$B$19*Assumptions!$B$18,'Monthly Revenue'!AF10*(1+Assumptions!$B$20)),Assumptions!$B$21),0)</f>
        <v>32.812119889294607</v>
      </c>
      <c r="AH10" s="110">
        <f>IF(AH$5&gt;0,MIN(MAX(Assumptions!$B$19*Assumptions!$B$18,'Monthly Revenue'!AG10*(1+Assumptions!$B$20)),Assumptions!$B$21),0)</f>
        <v>33.468362287080502</v>
      </c>
      <c r="AI10" s="110">
        <f>IF(AI$5&gt;0,MIN(MAX(Assumptions!$B$19*Assumptions!$B$18,'Monthly Revenue'!AH10*(1+Assumptions!$B$20)),Assumptions!$B$21),0)</f>
        <v>34.137729532822114</v>
      </c>
      <c r="AJ10" s="110">
        <f>IF(AJ$5&gt;0,MIN(MAX(Assumptions!$B$19*Assumptions!$B$18,'Monthly Revenue'!AI10*(1+Assumptions!$B$20)),Assumptions!$B$21),0)</f>
        <v>34.820484123478558</v>
      </c>
      <c r="AK10" s="110">
        <f>IF(AK$5&gt;0,MIN(MAX(Assumptions!$B$19*Assumptions!$B$18,'Monthly Revenue'!AJ10*(1+Assumptions!$B$20)),Assumptions!$B$21),0)</f>
        <v>35.516893805948129</v>
      </c>
      <c r="AL10" s="110">
        <f>IF(AL$5&gt;0,MIN(MAX(Assumptions!$B$19*Assumptions!$B$18,'Monthly Revenue'!AK10*(1+Assumptions!$B$20)),Assumptions!$B$21),0)</f>
        <v>36.227231682067092</v>
      </c>
      <c r="AM10" s="110">
        <f>IF(AM$5&gt;0,MIN(MAX(Assumptions!$B$19*Assumptions!$B$18,'Monthly Revenue'!AL10*(1+Assumptions!$B$20)),Assumptions!$B$21),0)</f>
        <v>36.951776315708436</v>
      </c>
      <c r="AN10" s="110">
        <f>IF(AN$5&gt;0,MIN(MAX(Assumptions!$B$19*Assumptions!$B$18,'Monthly Revenue'!AM10*(1+Assumptions!$B$20)),Assumptions!$B$21),0)</f>
        <v>37.690811842022605</v>
      </c>
    </row>
    <row r="11" spans="1:40" x14ac:dyDescent="0.25">
      <c r="A11" t="s">
        <v>110</v>
      </c>
      <c r="E11" s="106">
        <f>IF(E$5&gt;0,MIN(MAX(Assumptions!$F$19*Assumptions!$F$18,'Monthly Revenue'!D11*(1+Assumptions!$F$20)),Assumptions!$F$21),0)</f>
        <v>0</v>
      </c>
      <c r="F11" s="106">
        <f>IF(F$5&gt;0,MIN(MAX(Assumptions!$F$19*Assumptions!$F$18,'Monthly Revenue'!E11*(1+Assumptions!$F$20)),Assumptions!$F$21),0)</f>
        <v>0</v>
      </c>
      <c r="G11" s="106">
        <f>IF(G$5&gt;0,MIN(MAX(Assumptions!$F$19*Assumptions!$F$18,'Monthly Revenue'!F11*(1+Assumptions!$F$20)),Assumptions!$F$21),0)</f>
        <v>0</v>
      </c>
      <c r="H11" s="110">
        <f>IF(H$5&gt;0,MIN(MAX(Assumptions!$F$19*Assumptions!$F$18,'Monthly Revenue'!G11*(1+Assumptions!$F$20)),Assumptions!$F$21),0)</f>
        <v>26</v>
      </c>
      <c r="I11" s="110">
        <f>IF(I$5&gt;0,MIN(MAX(Assumptions!$F$19*Assumptions!$F$18,'Monthly Revenue'!H11*(1+Assumptions!$F$20)),Assumptions!$F$21),0)</f>
        <v>26.52</v>
      </c>
      <c r="J11" s="110">
        <f>IF(J$5&gt;0,MIN(MAX(Assumptions!$F$19*Assumptions!$F$18,'Monthly Revenue'!I11*(1+Assumptions!$F$20)),Assumptions!$F$21),0)</f>
        <v>27.0504</v>
      </c>
      <c r="K11" s="110">
        <f>IF(K$5&gt;0,MIN(MAX(Assumptions!$F$19*Assumptions!$F$18,'Monthly Revenue'!J11*(1+Assumptions!$F$20)),Assumptions!$F$21),0)</f>
        <v>27.591408000000001</v>
      </c>
      <c r="L11" s="110">
        <f>IF(L$5&gt;0,MIN(MAX(Assumptions!$F$19*Assumptions!$F$18,'Monthly Revenue'!K11*(1+Assumptions!$F$20)),Assumptions!$F$21),0)</f>
        <v>28.143236160000001</v>
      </c>
      <c r="M11" s="110">
        <f>IF(M$5&gt;0,MIN(MAX(Assumptions!$F$19*Assumptions!$F$18,'Monthly Revenue'!L11*(1+Assumptions!$F$20)),Assumptions!$F$21),0)</f>
        <v>28.706100883200001</v>
      </c>
      <c r="N11" s="110">
        <f>IF(N$5&gt;0,MIN(MAX(Assumptions!$F$19*Assumptions!$F$18,'Monthly Revenue'!M11*(1+Assumptions!$F$20)),Assumptions!$F$21),0)</f>
        <v>29.280222900864</v>
      </c>
      <c r="O11" s="110">
        <f>IF(O$5&gt;0,MIN(MAX(Assumptions!$F$19*Assumptions!$F$18,'Monthly Revenue'!N11*(1+Assumptions!$F$20)),Assumptions!$F$21),0)</f>
        <v>29.86582735888128</v>
      </c>
      <c r="P11" s="110">
        <f>IF(P$5&gt;0,MIN(MAX(Assumptions!$F$19*Assumptions!$F$18,'Monthly Revenue'!O11*(1+Assumptions!$F$20)),Assumptions!$F$21),0)</f>
        <v>30.463143906058907</v>
      </c>
      <c r="Q11" s="110">
        <f>IF(Q$5&gt;0,MIN(MAX(Assumptions!$F$19*Assumptions!$F$18,'Monthly Revenue'!P11*(1+Assumptions!$F$20)),Assumptions!$F$21),0)</f>
        <v>31.072406784180085</v>
      </c>
      <c r="R11" s="110">
        <f>IF(R$5&gt;0,MIN(MAX(Assumptions!$F$19*Assumptions!$F$18,'Monthly Revenue'!Q11*(1+Assumptions!$F$20)),Assumptions!$F$21),0)</f>
        <v>31.693854919863689</v>
      </c>
      <c r="S11" s="110">
        <f>IF(S$5&gt;0,MIN(MAX(Assumptions!$F$19*Assumptions!$F$18,'Monthly Revenue'!R11*(1+Assumptions!$F$20)),Assumptions!$F$21),0)</f>
        <v>32.32773201826096</v>
      </c>
      <c r="T11" s="110">
        <f>IF(T$5&gt;0,MIN(MAX(Assumptions!$F$19*Assumptions!$F$18,'Monthly Revenue'!S11*(1+Assumptions!$F$20)),Assumptions!$F$21),0)</f>
        <v>32.974286658626177</v>
      </c>
      <c r="U11" s="110">
        <f>IF(U$5&gt;0,MIN(MAX(Assumptions!$F$19*Assumptions!$F$18,'Monthly Revenue'!T11*(1+Assumptions!$F$20)),Assumptions!$F$21),0)</f>
        <v>33.633772391798701</v>
      </c>
      <c r="V11" s="110">
        <f>IF(V$5&gt;0,MIN(MAX(Assumptions!$F$19*Assumptions!$F$18,'Monthly Revenue'!U11*(1+Assumptions!$F$20)),Assumptions!$F$21),0)</f>
        <v>34.306447839634679</v>
      </c>
      <c r="W11" s="110">
        <f>IF(W$5&gt;0,MIN(MAX(Assumptions!$F$19*Assumptions!$F$18,'Monthly Revenue'!V11*(1+Assumptions!$F$20)),Assumptions!$F$21),0)</f>
        <v>34.992576796427372</v>
      </c>
      <c r="X11" s="110">
        <f>IF(X$5&gt;0,MIN(MAX(Assumptions!$F$19*Assumptions!$F$18,'Monthly Revenue'!W11*(1+Assumptions!$F$20)),Assumptions!$F$21),0)</f>
        <v>35.692428332355917</v>
      </c>
      <c r="Y11" s="110">
        <f>IF(Y$5&gt;0,MIN(MAX(Assumptions!$F$19*Assumptions!$F$18,'Monthly Revenue'!X11*(1+Assumptions!$F$20)),Assumptions!$F$21),0)</f>
        <v>36.406276899003032</v>
      </c>
      <c r="Z11" s="110">
        <f>IF(Z$5&gt;0,MIN(MAX(Assumptions!$F$19*Assumptions!$F$18,'Monthly Revenue'!Y11*(1+Assumptions!$F$20)),Assumptions!$F$21),0)</f>
        <v>37.134402436983095</v>
      </c>
      <c r="AA11" s="110">
        <f>IF(AA$5&gt;0,MIN(MAX(Assumptions!$F$19*Assumptions!$F$18,'Monthly Revenue'!Z11*(1+Assumptions!$F$20)),Assumptions!$F$21),0)</f>
        <v>37.877090485722761</v>
      </c>
      <c r="AB11" s="110">
        <f>IF(AB$5&gt;0,MIN(MAX(Assumptions!$F$19*Assumptions!$F$18,'Monthly Revenue'!AA11*(1+Assumptions!$F$20)),Assumptions!$F$21),0)</f>
        <v>38.634632295437214</v>
      </c>
      <c r="AC11" s="110">
        <f>IF(AC$5&gt;0,MIN(MAX(Assumptions!$F$19*Assumptions!$F$18,'Monthly Revenue'!AB11*(1+Assumptions!$F$20)),Assumptions!$F$21),0)</f>
        <v>39.407324941345962</v>
      </c>
      <c r="AD11" s="110">
        <f>IF(AD$5&gt;0,MIN(MAX(Assumptions!$F$19*Assumptions!$F$18,'Monthly Revenue'!AC11*(1+Assumptions!$F$20)),Assumptions!$F$21),0)</f>
        <v>40.195471440172881</v>
      </c>
      <c r="AE11" s="110">
        <f>IF(AE$5&gt;0,MIN(MAX(Assumptions!$F$19*Assumptions!$F$18,'Monthly Revenue'!AD11*(1+Assumptions!$F$20)),Assumptions!$F$21),0)</f>
        <v>40.999380868976338</v>
      </c>
      <c r="AF11" s="110">
        <f>IF(AF$5&gt;0,MIN(MAX(Assumptions!$F$19*Assumptions!$F$18,'Monthly Revenue'!AE11*(1+Assumptions!$F$20)),Assumptions!$F$21),0)</f>
        <v>41.819368486355863</v>
      </c>
      <c r="AG11" s="110">
        <f>IF(AG$5&gt;0,MIN(MAX(Assumptions!$F$19*Assumptions!$F$18,'Monthly Revenue'!AF11*(1+Assumptions!$F$20)),Assumptions!$F$21),0)</f>
        <v>42.655755856082983</v>
      </c>
      <c r="AH11" s="110">
        <f>IF(AH$5&gt;0,MIN(MAX(Assumptions!$F$19*Assumptions!$F$18,'Monthly Revenue'!AG11*(1+Assumptions!$F$20)),Assumptions!$F$21),0)</f>
        <v>43.508870973204644</v>
      </c>
      <c r="AI11" s="110">
        <f>IF(AI$5&gt;0,MIN(MAX(Assumptions!$F$19*Assumptions!$F$18,'Monthly Revenue'!AH11*(1+Assumptions!$F$20)),Assumptions!$F$21),0)</f>
        <v>44.379048392668736</v>
      </c>
      <c r="AJ11" s="110">
        <f>IF(AJ$5&gt;0,MIN(MAX(Assumptions!$F$19*Assumptions!$F$18,'Monthly Revenue'!AI11*(1+Assumptions!$F$20)),Assumptions!$F$21),0)</f>
        <v>45.26662936052211</v>
      </c>
      <c r="AK11" s="110">
        <f>IF(AK$5&gt;0,MIN(MAX(Assumptions!$F$19*Assumptions!$F$18,'Monthly Revenue'!AJ11*(1+Assumptions!$F$20)),Assumptions!$F$21),0)</f>
        <v>46.171961947732555</v>
      </c>
      <c r="AL11" s="110">
        <f>IF(AL$5&gt;0,MIN(MAX(Assumptions!$F$19*Assumptions!$F$18,'Monthly Revenue'!AK11*(1+Assumptions!$F$20)),Assumptions!$F$21),0)</f>
        <v>47.095401186687205</v>
      </c>
      <c r="AM11" s="110">
        <f>IF(AM$5&gt;0,MIN(MAX(Assumptions!$F$19*Assumptions!$F$18,'Monthly Revenue'!AL11*(1+Assumptions!$F$20)),Assumptions!$F$21),0)</f>
        <v>48.03730921042095</v>
      </c>
      <c r="AN11" s="110">
        <f>IF(AN$5&gt;0,MIN(MAX(Assumptions!$F$19*Assumptions!$F$18,'Monthly Revenue'!AM11*(1+Assumptions!$F$20)),Assumptions!$F$21),0)</f>
        <v>48.998055394629368</v>
      </c>
    </row>
    <row r="12" spans="1:40" x14ac:dyDescent="0.25">
      <c r="A12" s="112" t="s">
        <v>111</v>
      </c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</row>
    <row r="13" spans="1:40" x14ac:dyDescent="0.25">
      <c r="A13" t="s">
        <v>109</v>
      </c>
      <c r="E13" s="106">
        <f>IF(E$5&gt;0,MIN(MAX(Assumptions!$C$19*Assumptions!$C$18,'Monthly Revenue'!D13*(1+Assumptions!$C$20)),Assumptions!$C$21),0)</f>
        <v>0</v>
      </c>
      <c r="F13" s="106">
        <f>IF(F$5&gt;0,MIN(MAX(Assumptions!$C$19*Assumptions!$C$18,'Monthly Revenue'!E13*(1+Assumptions!$C$20)),Assumptions!$C$21),0)</f>
        <v>0</v>
      </c>
      <c r="G13" s="106">
        <f>IF(G$5&gt;0,MIN(MAX(Assumptions!$C$19*Assumptions!$C$18,'Monthly Revenue'!F13*(1+Assumptions!$C$20)),Assumptions!$C$21),0)</f>
        <v>0</v>
      </c>
      <c r="H13" s="110">
        <f>IF(H$5&gt;0,MIN(MAX(Assumptions!$C$19*Assumptions!$C$18,'Monthly Revenue'!G13*(1+Assumptions!$C$20)),Assumptions!$C$21),0)</f>
        <v>26</v>
      </c>
      <c r="I13" s="110">
        <f>IF(I$5&gt;0,MIN(MAX(Assumptions!$C$19*Assumptions!$C$18,'Monthly Revenue'!H13*(1+Assumptions!$C$20)),Assumptions!$C$21),0)</f>
        <v>27.04</v>
      </c>
      <c r="J13" s="110">
        <f>IF(J$5&gt;0,MIN(MAX(Assumptions!$C$19*Assumptions!$C$18,'Monthly Revenue'!I13*(1+Assumptions!$C$20)),Assumptions!$C$21),0)</f>
        <v>28.121600000000001</v>
      </c>
      <c r="K13" s="110">
        <f>IF(K$5&gt;0,MIN(MAX(Assumptions!$C$19*Assumptions!$C$18,'Monthly Revenue'!J13*(1+Assumptions!$C$20)),Assumptions!$C$21),0)</f>
        <v>29.246464000000003</v>
      </c>
      <c r="L13" s="110">
        <f>IF(L$5&gt;0,MIN(MAX(Assumptions!$C$19*Assumptions!$C$18,'Monthly Revenue'!K13*(1+Assumptions!$C$20)),Assumptions!$C$21),0)</f>
        <v>30.416322560000005</v>
      </c>
      <c r="M13" s="110">
        <f>IF(M$5&gt;0,MIN(MAX(Assumptions!$C$19*Assumptions!$C$18,'Monthly Revenue'!L13*(1+Assumptions!$C$20)),Assumptions!$C$21),0)</f>
        <v>31.632975462400005</v>
      </c>
      <c r="N13" s="110">
        <f>IF(N$5&gt;0,MIN(MAX(Assumptions!$C$19*Assumptions!$C$18,'Monthly Revenue'!M13*(1+Assumptions!$C$20)),Assumptions!$C$21),0)</f>
        <v>32.898294480896006</v>
      </c>
      <c r="O13" s="110">
        <f>IF(O$5&gt;0,MIN(MAX(Assumptions!$C$19*Assumptions!$C$18,'Monthly Revenue'!N13*(1+Assumptions!$C$20)),Assumptions!$C$21),0)</f>
        <v>34.214226260131845</v>
      </c>
      <c r="P13" s="110">
        <f>IF(P$5&gt;0,MIN(MAX(Assumptions!$C$19*Assumptions!$C$18,'Monthly Revenue'!O13*(1+Assumptions!$C$20)),Assumptions!$C$21),0)</f>
        <v>35.582795310537122</v>
      </c>
      <c r="Q13" s="110">
        <f>IF(Q$5&gt;0,MIN(MAX(Assumptions!$C$19*Assumptions!$C$18,'Monthly Revenue'!P13*(1+Assumptions!$C$20)),Assumptions!$C$21),0)</f>
        <v>37.00610712295861</v>
      </c>
      <c r="R13" s="110">
        <f>IF(R$5&gt;0,MIN(MAX(Assumptions!$C$19*Assumptions!$C$18,'Monthly Revenue'!Q13*(1+Assumptions!$C$20)),Assumptions!$C$21),0)</f>
        <v>38.48635140787696</v>
      </c>
      <c r="S13" s="110">
        <f>IF(S$5&gt;0,MIN(MAX(Assumptions!$C$19*Assumptions!$C$18,'Monthly Revenue'!R13*(1+Assumptions!$C$20)),Assumptions!$C$21),0)</f>
        <v>40.02580546419204</v>
      </c>
      <c r="T13" s="110">
        <f>IF(T$5&gt;0,MIN(MAX(Assumptions!$C$19*Assumptions!$C$18,'Monthly Revenue'!S13*(1+Assumptions!$C$20)),Assumptions!$C$21),0)</f>
        <v>41.626837682759721</v>
      </c>
      <c r="U13" s="110">
        <f>IF(U$5&gt;0,MIN(MAX(Assumptions!$C$19*Assumptions!$C$18,'Monthly Revenue'!T13*(1+Assumptions!$C$20)),Assumptions!$C$21),0)</f>
        <v>43.29191119007011</v>
      </c>
      <c r="V13" s="110">
        <f>IF(V$5&gt;0,MIN(MAX(Assumptions!$C$19*Assumptions!$C$18,'Monthly Revenue'!U13*(1+Assumptions!$C$20)),Assumptions!$C$21),0)</f>
        <v>45.023587637672918</v>
      </c>
      <c r="W13" s="110">
        <f>IF(W$5&gt;0,MIN(MAX(Assumptions!$C$19*Assumptions!$C$18,'Monthly Revenue'!V13*(1+Assumptions!$C$20)),Assumptions!$C$21),0)</f>
        <v>46.82453114317984</v>
      </c>
      <c r="X13" s="110">
        <f>IF(X$5&gt;0,MIN(MAX(Assumptions!$C$19*Assumptions!$C$18,'Monthly Revenue'!W13*(1+Assumptions!$C$20)),Assumptions!$C$21),0)</f>
        <v>48.697512388907036</v>
      </c>
      <c r="Y13" s="110">
        <f>IF(Y$5&gt;0,MIN(MAX(Assumptions!$C$19*Assumptions!$C$18,'Monthly Revenue'!X13*(1+Assumptions!$C$20)),Assumptions!$C$21),0)</f>
        <v>50.645412884463319</v>
      </c>
      <c r="Z13" s="110">
        <f>IF(Z$5&gt;0,MIN(MAX(Assumptions!$C$19*Assumptions!$C$18,'Monthly Revenue'!Y13*(1+Assumptions!$C$20)),Assumptions!$C$21),0)</f>
        <v>52.671229399841856</v>
      </c>
      <c r="AA13" s="110">
        <f>IF(AA$5&gt;0,MIN(MAX(Assumptions!$C$19*Assumptions!$C$18,'Monthly Revenue'!Z13*(1+Assumptions!$C$20)),Assumptions!$C$21),0)</f>
        <v>54.778078575835529</v>
      </c>
      <c r="AB13" s="110">
        <f>IF(AB$5&gt;0,MIN(MAX(Assumptions!$C$19*Assumptions!$C$18,'Monthly Revenue'!AA13*(1+Assumptions!$C$20)),Assumptions!$C$21),0)</f>
        <v>56.969201718868952</v>
      </c>
      <c r="AC13" s="110">
        <f>IF(AC$5&gt;0,MIN(MAX(Assumptions!$C$19*Assumptions!$C$18,'Monthly Revenue'!AB13*(1+Assumptions!$C$20)),Assumptions!$C$21),0)</f>
        <v>59.24796978762371</v>
      </c>
      <c r="AD13" s="110">
        <f>IF(AD$5&gt;0,MIN(MAX(Assumptions!$C$19*Assumptions!$C$18,'Monthly Revenue'!AC13*(1+Assumptions!$C$20)),Assumptions!$C$21),0)</f>
        <v>61.61788857912866</v>
      </c>
      <c r="AE13" s="110">
        <f>IF(AE$5&gt;0,MIN(MAX(Assumptions!$C$19*Assumptions!$C$18,'Monthly Revenue'!AD13*(1+Assumptions!$C$20)),Assumptions!$C$21),0)</f>
        <v>64.082604122293816</v>
      </c>
      <c r="AF13" s="110">
        <f>IF(AF$5&gt;0,MIN(MAX(Assumptions!$C$19*Assumptions!$C$18,'Monthly Revenue'!AE13*(1+Assumptions!$C$20)),Assumptions!$C$21),0)</f>
        <v>66.645908287185577</v>
      </c>
      <c r="AG13" s="110">
        <f>IF(AG$5&gt;0,MIN(MAX(Assumptions!$C$19*Assumptions!$C$18,'Monthly Revenue'!AF13*(1+Assumptions!$C$20)),Assumptions!$C$21),0)</f>
        <v>69.311744618673004</v>
      </c>
      <c r="AH13" s="110">
        <f>IF(AH$5&gt;0,MIN(MAX(Assumptions!$C$19*Assumptions!$C$18,'Monthly Revenue'!AG13*(1+Assumptions!$C$20)),Assumptions!$C$21),0)</f>
        <v>72.084214403419921</v>
      </c>
      <c r="AI13" s="110">
        <f>IF(AI$5&gt;0,MIN(MAX(Assumptions!$C$19*Assumptions!$C$18,'Monthly Revenue'!AH13*(1+Assumptions!$C$20)),Assumptions!$C$21),0)</f>
        <v>74.967582979556724</v>
      </c>
      <c r="AJ13" s="110">
        <f>IF(AJ$5&gt;0,MIN(MAX(Assumptions!$C$19*Assumptions!$C$18,'Monthly Revenue'!AI13*(1+Assumptions!$C$20)),Assumptions!$C$21),0)</f>
        <v>77.966286298738993</v>
      </c>
      <c r="AK13" s="110">
        <f>IF(AK$5&gt;0,MIN(MAX(Assumptions!$C$19*Assumptions!$C$18,'Monthly Revenue'!AJ13*(1+Assumptions!$C$20)),Assumptions!$C$21),0)</f>
        <v>80</v>
      </c>
      <c r="AL13" s="110">
        <f>IF(AL$5&gt;0,MIN(MAX(Assumptions!$C$19*Assumptions!$C$18,'Monthly Revenue'!AK13*(1+Assumptions!$C$20)),Assumptions!$C$21),0)</f>
        <v>80</v>
      </c>
      <c r="AM13" s="110">
        <f>IF(AM$5&gt;0,MIN(MAX(Assumptions!$C$19*Assumptions!$C$18,'Monthly Revenue'!AL13*(1+Assumptions!$C$20)),Assumptions!$C$21),0)</f>
        <v>80</v>
      </c>
      <c r="AN13" s="110">
        <f>IF(AN$5&gt;0,MIN(MAX(Assumptions!$C$19*Assumptions!$C$18,'Monthly Revenue'!AM13*(1+Assumptions!$C$20)),Assumptions!$C$21),0)</f>
        <v>80</v>
      </c>
    </row>
    <row r="14" spans="1:40" x14ac:dyDescent="0.25">
      <c r="A14" t="s">
        <v>110</v>
      </c>
      <c r="E14" s="106">
        <f>IF(E$5&gt;0,MIN(MAX(Assumptions!$G$19*Assumptions!$G$18,'Monthly Revenue'!D14*(1+Assumptions!$G$20)),Assumptions!$G$21),0)</f>
        <v>0</v>
      </c>
      <c r="F14" s="106">
        <f>IF(F$5&gt;0,MIN(MAX(Assumptions!$G$19*Assumptions!$G$18,'Monthly Revenue'!E14*(1+Assumptions!$G$20)),Assumptions!$G$21),0)</f>
        <v>0</v>
      </c>
      <c r="G14" s="106">
        <f>IF(G$5&gt;0,MIN(MAX(Assumptions!$G$19*Assumptions!$G$18,'Monthly Revenue'!F14*(1+Assumptions!$G$20)),Assumptions!$G$21),0)</f>
        <v>0</v>
      </c>
      <c r="H14" s="110">
        <f>IF(H$5&gt;0,MIN(MAX(Assumptions!$G$19*Assumptions!$G$18,'Monthly Revenue'!G14*(1+Assumptions!$G$20)),Assumptions!$G$21),0)</f>
        <v>30</v>
      </c>
      <c r="I14" s="110">
        <f>IF(I$5&gt;0,MIN(MAX(Assumptions!$G$19*Assumptions!$G$18,'Monthly Revenue'!H14*(1+Assumptions!$G$20)),Assumptions!$G$21),0)</f>
        <v>31.200000000000003</v>
      </c>
      <c r="J14" s="110">
        <f>IF(J$5&gt;0,MIN(MAX(Assumptions!$G$19*Assumptions!$G$18,'Monthly Revenue'!I14*(1+Assumptions!$G$20)),Assumptions!$G$21),0)</f>
        <v>32.448000000000008</v>
      </c>
      <c r="K14" s="110">
        <f>IF(K$5&gt;0,MIN(MAX(Assumptions!$G$19*Assumptions!$G$18,'Monthly Revenue'!J14*(1+Assumptions!$G$20)),Assumptions!$G$21),0)</f>
        <v>33.745920000000012</v>
      </c>
      <c r="L14" s="110">
        <f>IF(L$5&gt;0,MIN(MAX(Assumptions!$G$19*Assumptions!$G$18,'Monthly Revenue'!K14*(1+Assumptions!$G$20)),Assumptions!$G$21),0)</f>
        <v>35.095756800000011</v>
      </c>
      <c r="M14" s="110">
        <f>IF(M$5&gt;0,MIN(MAX(Assumptions!$G$19*Assumptions!$G$18,'Monthly Revenue'!L14*(1+Assumptions!$G$20)),Assumptions!$G$21),0)</f>
        <v>36.499587072000011</v>
      </c>
      <c r="N14" s="110">
        <f>IF(N$5&gt;0,MIN(MAX(Assumptions!$G$19*Assumptions!$G$18,'Monthly Revenue'!M14*(1+Assumptions!$G$20)),Assumptions!$G$21),0)</f>
        <v>37.95957055488001</v>
      </c>
      <c r="O14" s="110">
        <f>IF(O$5&gt;0,MIN(MAX(Assumptions!$G$19*Assumptions!$G$18,'Monthly Revenue'!N14*(1+Assumptions!$G$20)),Assumptions!$G$21),0)</f>
        <v>39.47795337707521</v>
      </c>
      <c r="P14" s="110">
        <f>IF(P$5&gt;0,MIN(MAX(Assumptions!$G$19*Assumptions!$G$18,'Monthly Revenue'!O14*(1+Assumptions!$G$20)),Assumptions!$G$21),0)</f>
        <v>41.057071512158217</v>
      </c>
      <c r="Q14" s="110">
        <f>IF(Q$5&gt;0,MIN(MAX(Assumptions!$G$19*Assumptions!$G$18,'Monthly Revenue'!P14*(1+Assumptions!$G$20)),Assumptions!$G$21),0)</f>
        <v>42.699354372644549</v>
      </c>
      <c r="R14" s="110">
        <f>IF(R$5&gt;0,MIN(MAX(Assumptions!$G$19*Assumptions!$G$18,'Monthly Revenue'!Q14*(1+Assumptions!$G$20)),Assumptions!$G$21),0)</f>
        <v>44.407328547550335</v>
      </c>
      <c r="S14" s="110">
        <f>IF(S$5&gt;0,MIN(MAX(Assumptions!$G$19*Assumptions!$G$18,'Monthly Revenue'!R14*(1+Assumptions!$G$20)),Assumptions!$G$21),0)</f>
        <v>46.183621689452352</v>
      </c>
      <c r="T14" s="110">
        <f>IF(T$5&gt;0,MIN(MAX(Assumptions!$G$19*Assumptions!$G$18,'Monthly Revenue'!S14*(1+Assumptions!$G$20)),Assumptions!$G$21),0)</f>
        <v>48.030966557030446</v>
      </c>
      <c r="U14" s="110">
        <f>IF(U$5&gt;0,MIN(MAX(Assumptions!$G$19*Assumptions!$G$18,'Monthly Revenue'!T14*(1+Assumptions!$G$20)),Assumptions!$G$21),0)</f>
        <v>49.952205219311665</v>
      </c>
      <c r="V14" s="110">
        <f>IF(V$5&gt;0,MIN(MAX(Assumptions!$G$19*Assumptions!$G$18,'Monthly Revenue'!U14*(1+Assumptions!$G$20)),Assumptions!$G$21),0)</f>
        <v>51.95029342808413</v>
      </c>
      <c r="W14" s="110">
        <f>IF(W$5&gt;0,MIN(MAX(Assumptions!$G$19*Assumptions!$G$18,'Monthly Revenue'!V14*(1+Assumptions!$G$20)),Assumptions!$G$21),0)</f>
        <v>54.028305165207499</v>
      </c>
      <c r="X14" s="110">
        <f>IF(X$5&gt;0,MIN(MAX(Assumptions!$G$19*Assumptions!$G$18,'Monthly Revenue'!W14*(1+Assumptions!$G$20)),Assumptions!$G$21),0)</f>
        <v>56.189437371815799</v>
      </c>
      <c r="Y14" s="110">
        <f>IF(Y$5&gt;0,MIN(MAX(Assumptions!$G$19*Assumptions!$G$18,'Monthly Revenue'!X14*(1+Assumptions!$G$20)),Assumptions!$G$21),0)</f>
        <v>58.437014866688436</v>
      </c>
      <c r="Z14" s="110">
        <f>IF(Z$5&gt;0,MIN(MAX(Assumptions!$G$19*Assumptions!$G$18,'Monthly Revenue'!Y14*(1+Assumptions!$G$20)),Assumptions!$G$21),0)</f>
        <v>60.774495461355976</v>
      </c>
      <c r="AA14" s="110">
        <f>IF(AA$5&gt;0,MIN(MAX(Assumptions!$G$19*Assumptions!$G$18,'Monthly Revenue'!Z14*(1+Assumptions!$G$20)),Assumptions!$G$21),0)</f>
        <v>63.205475279810216</v>
      </c>
      <c r="AB14" s="110">
        <f>IF(AB$5&gt;0,MIN(MAX(Assumptions!$G$19*Assumptions!$G$18,'Monthly Revenue'!AA14*(1+Assumptions!$G$20)),Assumptions!$G$21),0)</f>
        <v>65.733694291002621</v>
      </c>
      <c r="AC14" s="110">
        <f>IF(AC$5&gt;0,MIN(MAX(Assumptions!$G$19*Assumptions!$G$18,'Monthly Revenue'!AB14*(1+Assumptions!$G$20)),Assumptions!$G$21),0)</f>
        <v>68.363042062642734</v>
      </c>
      <c r="AD14" s="110">
        <f>IF(AD$5&gt;0,MIN(MAX(Assumptions!$G$19*Assumptions!$G$18,'Monthly Revenue'!AC14*(1+Assumptions!$G$20)),Assumptions!$G$21),0)</f>
        <v>71.097563745148449</v>
      </c>
      <c r="AE14" s="110">
        <f>IF(AE$5&gt;0,MIN(MAX(Assumptions!$G$19*Assumptions!$G$18,'Monthly Revenue'!AD14*(1+Assumptions!$G$20)),Assumptions!$G$21),0)</f>
        <v>73.941466294954395</v>
      </c>
      <c r="AF14" s="110">
        <f>IF(AF$5&gt;0,MIN(MAX(Assumptions!$G$19*Assumptions!$G$18,'Monthly Revenue'!AE14*(1+Assumptions!$G$20)),Assumptions!$G$21),0)</f>
        <v>76.899124946752579</v>
      </c>
      <c r="AG14" s="110">
        <f>IF(AG$5&gt;0,MIN(MAX(Assumptions!$G$19*Assumptions!$G$18,'Monthly Revenue'!AF14*(1+Assumptions!$G$20)),Assumptions!$G$21),0)</f>
        <v>79.975089944622681</v>
      </c>
      <c r="AH14" s="110">
        <f>IF(AH$5&gt;0,MIN(MAX(Assumptions!$G$19*Assumptions!$G$18,'Monthly Revenue'!AG14*(1+Assumptions!$G$20)),Assumptions!$G$21),0)</f>
        <v>83.17409354240759</v>
      </c>
      <c r="AI14" s="110">
        <f>IF(AI$5&gt;0,MIN(MAX(Assumptions!$G$19*Assumptions!$G$18,'Monthly Revenue'!AH14*(1+Assumptions!$G$20)),Assumptions!$G$21),0)</f>
        <v>86.501057284103894</v>
      </c>
      <c r="AJ14" s="110">
        <f>IF(AJ$5&gt;0,MIN(MAX(Assumptions!$G$19*Assumptions!$G$18,'Monthly Revenue'!AI14*(1+Assumptions!$G$20)),Assumptions!$G$21),0)</f>
        <v>89.961099575468054</v>
      </c>
      <c r="AK14" s="110">
        <f>IF(AK$5&gt;0,MIN(MAX(Assumptions!$G$19*Assumptions!$G$18,'Monthly Revenue'!AJ14*(1+Assumptions!$G$20)),Assumptions!$G$21),0)</f>
        <v>90</v>
      </c>
      <c r="AL14" s="110">
        <f>IF(AL$5&gt;0,MIN(MAX(Assumptions!$G$19*Assumptions!$G$18,'Monthly Revenue'!AK14*(1+Assumptions!$G$20)),Assumptions!$G$21),0)</f>
        <v>90</v>
      </c>
      <c r="AM14" s="110">
        <f>IF(AM$5&gt;0,MIN(MAX(Assumptions!$G$19*Assumptions!$G$18,'Monthly Revenue'!AL14*(1+Assumptions!$G$20)),Assumptions!$G$21),0)</f>
        <v>90</v>
      </c>
      <c r="AN14" s="110">
        <f>IF(AN$5&gt;0,MIN(MAX(Assumptions!$G$19*Assumptions!$G$18,'Monthly Revenue'!AM14*(1+Assumptions!$G$20)),Assumptions!$G$21),0)</f>
        <v>90</v>
      </c>
    </row>
    <row r="16" spans="1:40" x14ac:dyDescent="0.25">
      <c r="A16" s="9" t="s">
        <v>113</v>
      </c>
    </row>
    <row r="17" spans="1:40" x14ac:dyDescent="0.25">
      <c r="A17" s="102" t="s">
        <v>6</v>
      </c>
    </row>
    <row r="18" spans="1:40" x14ac:dyDescent="0.25">
      <c r="A18" s="9" t="s">
        <v>109</v>
      </c>
    </row>
    <row r="19" spans="1:40" x14ac:dyDescent="0.25">
      <c r="A19" t="s">
        <v>114</v>
      </c>
      <c r="E19" s="106">
        <f>IF(MOD(E$2,12)=4,MAX(D19*(1+Assumptions!$B$14),Assumptions!$B11),'Monthly Revenue'!D19)</f>
        <v>0</v>
      </c>
      <c r="F19" s="106">
        <f>IF(MOD(F$2,12)=4,MAX(E19*(1+Assumptions!$B$14),Assumptions!$B11),'Monthly Revenue'!E19)</f>
        <v>0</v>
      </c>
      <c r="G19" s="106">
        <f>IF(MOD(G$2,12)=4,MAX(F19*(1+Assumptions!$B$14),Assumptions!$B11),'Monthly Revenue'!F19)</f>
        <v>0</v>
      </c>
      <c r="H19" s="106">
        <f>IF(MOD(H$2,12)=4,MAX(G19*(1+Assumptions!$B$14),Assumptions!$B11),'Monthly Revenue'!G19)</f>
        <v>300</v>
      </c>
      <c r="I19" s="106">
        <f>IF(MOD(I$2,12)=4,MAX(H19*(1+Assumptions!$B$14),Assumptions!$B11),'Monthly Revenue'!H19)</f>
        <v>300</v>
      </c>
      <c r="J19" s="106">
        <f>IF(MOD(J$2,12)=4,MAX(I19*(1+Assumptions!$B$14),Assumptions!$B11),'Monthly Revenue'!I19)</f>
        <v>300</v>
      </c>
      <c r="K19" s="106">
        <f>IF(MOD(K$2,12)=4,MAX(J19*(1+Assumptions!$B$14),Assumptions!$B11),'Monthly Revenue'!J19)</f>
        <v>300</v>
      </c>
      <c r="L19" s="106">
        <f>IF(MOD(L$2,12)=4,MAX(K19*(1+Assumptions!$B$14),Assumptions!$B11),'Monthly Revenue'!K19)</f>
        <v>300</v>
      </c>
      <c r="M19" s="106">
        <f>IF(MOD(M$2,12)=4,MAX(L19*(1+Assumptions!$B$14),Assumptions!$B11),'Monthly Revenue'!L19)</f>
        <v>300</v>
      </c>
      <c r="N19" s="106">
        <f>IF(MOD(N$2,12)=4,MAX(M19*(1+Assumptions!$B$14),Assumptions!$B11),'Monthly Revenue'!M19)</f>
        <v>300</v>
      </c>
      <c r="O19" s="106">
        <f>IF(MOD(O$2,12)=4,MAX(N19*(1+Assumptions!$B$14),Assumptions!$B11),'Monthly Revenue'!N19)</f>
        <v>300</v>
      </c>
      <c r="P19" s="106">
        <f>IF(MOD(P$2,12)=4,MAX(O19*(1+Assumptions!$B$14),Assumptions!$B11),'Monthly Revenue'!O19)</f>
        <v>300</v>
      </c>
      <c r="Q19" s="106">
        <f>IF(MOD(Q$2,12)=4,MAX(P19*(1+Assumptions!$B$14),Assumptions!$B11),'Monthly Revenue'!P19)</f>
        <v>300</v>
      </c>
      <c r="R19" s="106">
        <f>IF(MOD(R$2,12)=4,MAX(Q19*(1+Assumptions!$B$14),Assumptions!$B11),'Monthly Revenue'!Q19)</f>
        <v>300</v>
      </c>
      <c r="S19" s="106">
        <f>IF(MOD(S$2,12)=4,MAX(R19*(1+Assumptions!$B$14),Assumptions!$B11),'Monthly Revenue'!R19)</f>
        <v>300</v>
      </c>
      <c r="T19" s="106">
        <f>IF(MOD(T$2,12)=4,MAX(S19*(1+Assumptions!$B$14),Assumptions!$B11),'Monthly Revenue'!S19)</f>
        <v>315</v>
      </c>
      <c r="U19" s="106">
        <f>IF(MOD(U$2,12)=4,MAX(T19*(1+Assumptions!$B$14),Assumptions!$B11),'Monthly Revenue'!T19)</f>
        <v>315</v>
      </c>
      <c r="V19" s="106">
        <f>IF(MOD(V$2,12)=4,MAX(U19*(1+Assumptions!$B$14),Assumptions!$B11),'Monthly Revenue'!U19)</f>
        <v>315</v>
      </c>
      <c r="W19" s="106">
        <f>IF(MOD(W$2,12)=4,MAX(V19*(1+Assumptions!$B$14),Assumptions!$B11),'Monthly Revenue'!V19)</f>
        <v>315</v>
      </c>
      <c r="X19" s="106">
        <f>IF(MOD(X$2,12)=4,MAX(W19*(1+Assumptions!$B$14),Assumptions!$B11),'Monthly Revenue'!W19)</f>
        <v>315</v>
      </c>
      <c r="Y19" s="106">
        <f>IF(MOD(Y$2,12)=4,MAX(X19*(1+Assumptions!$B$14),Assumptions!$B11),'Monthly Revenue'!X19)</f>
        <v>315</v>
      </c>
      <c r="Z19" s="106">
        <f>IF(MOD(Z$2,12)=4,MAX(Y19*(1+Assumptions!$B$14),Assumptions!$B11),'Monthly Revenue'!Y19)</f>
        <v>315</v>
      </c>
      <c r="AA19" s="106">
        <f>IF(MOD(AA$2,12)=4,MAX(Z19*(1+Assumptions!$B$14),Assumptions!$B11),'Monthly Revenue'!Z19)</f>
        <v>315</v>
      </c>
      <c r="AB19" s="106">
        <f>IF(MOD(AB$2,12)=4,MAX(AA19*(1+Assumptions!$B$14),Assumptions!$B11),'Monthly Revenue'!AA19)</f>
        <v>315</v>
      </c>
      <c r="AC19" s="106">
        <f>IF(MOD(AC$2,12)=4,MAX(AB19*(1+Assumptions!$B$14),Assumptions!$B11),'Monthly Revenue'!AB19)</f>
        <v>315</v>
      </c>
      <c r="AD19" s="106">
        <f>IF(MOD(AD$2,12)=4,MAX(AC19*(1+Assumptions!$B$14),Assumptions!$B11),'Monthly Revenue'!AC19)</f>
        <v>315</v>
      </c>
      <c r="AE19" s="106">
        <f>IF(MOD(AE$2,12)=4,MAX(AD19*(1+Assumptions!$B$14),Assumptions!$B11),'Monthly Revenue'!AD19)</f>
        <v>315</v>
      </c>
      <c r="AF19" s="106">
        <f>IF(MOD(AF$2,12)=4,MAX(AE19*(1+Assumptions!$B$14),Assumptions!$B11),'Monthly Revenue'!AE19)</f>
        <v>330.75</v>
      </c>
      <c r="AG19" s="106">
        <f>IF(MOD(AG$2,12)=4,MAX(AF19*(1+Assumptions!$B$14),Assumptions!$B11),'Monthly Revenue'!AF19)</f>
        <v>330.75</v>
      </c>
      <c r="AH19" s="106">
        <f>IF(MOD(AH$2,12)=4,MAX(AG19*(1+Assumptions!$B$14),Assumptions!$B11),'Monthly Revenue'!AG19)</f>
        <v>330.75</v>
      </c>
      <c r="AI19" s="106">
        <f>IF(MOD(AI$2,12)=4,MAX(AH19*(1+Assumptions!$B$14),Assumptions!$B11),'Monthly Revenue'!AH19)</f>
        <v>330.75</v>
      </c>
      <c r="AJ19" s="106">
        <f>IF(MOD(AJ$2,12)=4,MAX(AI19*(1+Assumptions!$B$14),Assumptions!$B11),'Monthly Revenue'!AI19)</f>
        <v>330.75</v>
      </c>
      <c r="AK19" s="106">
        <f>IF(MOD(AK$2,12)=4,MAX(AJ19*(1+Assumptions!$B$14),Assumptions!$B11),'Monthly Revenue'!AJ19)</f>
        <v>330.75</v>
      </c>
      <c r="AL19" s="106">
        <f>IF(MOD(AL$2,12)=4,MAX(AK19*(1+Assumptions!$B$14),Assumptions!$B11),'Monthly Revenue'!AK19)</f>
        <v>330.75</v>
      </c>
      <c r="AM19" s="106">
        <f>IF(MOD(AM$2,12)=4,MAX(AL19*(1+Assumptions!$B$14),Assumptions!$B11),'Monthly Revenue'!AL19)</f>
        <v>330.75</v>
      </c>
      <c r="AN19" s="106">
        <f>IF(MOD(AN$2,12)=4,MAX(AM19*(1+Assumptions!$B$14),Assumptions!$B11),'Monthly Revenue'!AM19)</f>
        <v>330.75</v>
      </c>
    </row>
    <row r="20" spans="1:40" x14ac:dyDescent="0.25">
      <c r="A20" t="s">
        <v>115</v>
      </c>
      <c r="E20" s="106">
        <f>IF(MOD(E$2,12)=4,MAX(D20*(1+Assumptions!$B$14),Assumptions!$B12),'Monthly Revenue'!D20)</f>
        <v>0</v>
      </c>
      <c r="F20" s="106">
        <f>IF(MOD(F$2,12)=4,MAX(E20*(1+Assumptions!$B$14),Assumptions!$B12),'Monthly Revenue'!E20)</f>
        <v>0</v>
      </c>
      <c r="G20" s="106">
        <f>IF(MOD(G$2,12)=4,MAX(F20*(1+Assumptions!$B$14),Assumptions!$B12),'Monthly Revenue'!F20)</f>
        <v>0</v>
      </c>
      <c r="H20" s="106">
        <f>IF(MOD(H$2,12)=4,MAX(G20*(1+Assumptions!$B$14),Assumptions!$B12),'Monthly Revenue'!G20)</f>
        <v>200</v>
      </c>
      <c r="I20" s="106">
        <f>IF(MOD(I$2,12)=4,MAX(H20*(1+Assumptions!$B$14),Assumptions!$B12),'Monthly Revenue'!H20)</f>
        <v>200</v>
      </c>
      <c r="J20" s="106">
        <f>IF(MOD(J$2,12)=4,MAX(I20*(1+Assumptions!$B$14),Assumptions!$B12),'Monthly Revenue'!I20)</f>
        <v>200</v>
      </c>
      <c r="K20" s="106">
        <f>IF(MOD(K$2,12)=4,MAX(J20*(1+Assumptions!$B$14),Assumptions!$B12),'Monthly Revenue'!J20)</f>
        <v>200</v>
      </c>
      <c r="L20" s="106">
        <f>IF(MOD(L$2,12)=4,MAX(K20*(1+Assumptions!$B$14),Assumptions!$B12),'Monthly Revenue'!K20)</f>
        <v>200</v>
      </c>
      <c r="M20" s="106">
        <f>IF(MOD(M$2,12)=4,MAX(L20*(1+Assumptions!$B$14),Assumptions!$B12),'Monthly Revenue'!L20)</f>
        <v>200</v>
      </c>
      <c r="N20" s="106">
        <f>IF(MOD(N$2,12)=4,MAX(M20*(1+Assumptions!$B$14),Assumptions!$B12),'Monthly Revenue'!M20)</f>
        <v>200</v>
      </c>
      <c r="O20" s="106">
        <f>IF(MOD(O$2,12)=4,MAX(N20*(1+Assumptions!$B$14),Assumptions!$B12),'Monthly Revenue'!N20)</f>
        <v>200</v>
      </c>
      <c r="P20" s="106">
        <f>IF(MOD(P$2,12)=4,MAX(O20*(1+Assumptions!$B$14),Assumptions!$B12),'Monthly Revenue'!O20)</f>
        <v>200</v>
      </c>
      <c r="Q20" s="106">
        <f>IF(MOD(Q$2,12)=4,MAX(P20*(1+Assumptions!$B$14),Assumptions!$B12),'Monthly Revenue'!P20)</f>
        <v>200</v>
      </c>
      <c r="R20" s="106">
        <f>IF(MOD(R$2,12)=4,MAX(Q20*(1+Assumptions!$B$14),Assumptions!$B12),'Monthly Revenue'!Q20)</f>
        <v>200</v>
      </c>
      <c r="S20" s="106">
        <f>IF(MOD(S$2,12)=4,MAX(R20*(1+Assumptions!$B$14),Assumptions!$B12),'Monthly Revenue'!R20)</f>
        <v>200</v>
      </c>
      <c r="T20" s="106">
        <f>IF(MOD(T$2,12)=4,MAX(S20*(1+Assumptions!$B$14),Assumptions!$B12),'Monthly Revenue'!S20)</f>
        <v>210</v>
      </c>
      <c r="U20" s="106">
        <f>IF(MOD(U$2,12)=4,MAX(T20*(1+Assumptions!$B$14),Assumptions!$B12),'Monthly Revenue'!T20)</f>
        <v>210</v>
      </c>
      <c r="V20" s="106">
        <f>IF(MOD(V$2,12)=4,MAX(U20*(1+Assumptions!$B$14),Assumptions!$B12),'Monthly Revenue'!U20)</f>
        <v>210</v>
      </c>
      <c r="W20" s="106">
        <f>IF(MOD(W$2,12)=4,MAX(V20*(1+Assumptions!$B$14),Assumptions!$B12),'Monthly Revenue'!V20)</f>
        <v>210</v>
      </c>
      <c r="X20" s="106">
        <f>IF(MOD(X$2,12)=4,MAX(W20*(1+Assumptions!$B$14),Assumptions!$B12),'Monthly Revenue'!W20)</f>
        <v>210</v>
      </c>
      <c r="Y20" s="106">
        <f>IF(MOD(Y$2,12)=4,MAX(X20*(1+Assumptions!$B$14),Assumptions!$B12),'Monthly Revenue'!X20)</f>
        <v>210</v>
      </c>
      <c r="Z20" s="106">
        <f>IF(MOD(Z$2,12)=4,MAX(Y20*(1+Assumptions!$B$14),Assumptions!$B12),'Monthly Revenue'!Y20)</f>
        <v>210</v>
      </c>
      <c r="AA20" s="106">
        <f>IF(MOD(AA$2,12)=4,MAX(Z20*(1+Assumptions!$B$14),Assumptions!$B12),'Monthly Revenue'!Z20)</f>
        <v>210</v>
      </c>
      <c r="AB20" s="106">
        <f>IF(MOD(AB$2,12)=4,MAX(AA20*(1+Assumptions!$B$14),Assumptions!$B12),'Monthly Revenue'!AA20)</f>
        <v>210</v>
      </c>
      <c r="AC20" s="106">
        <f>IF(MOD(AC$2,12)=4,MAX(AB20*(1+Assumptions!$B$14),Assumptions!$B12),'Monthly Revenue'!AB20)</f>
        <v>210</v>
      </c>
      <c r="AD20" s="106">
        <f>IF(MOD(AD$2,12)=4,MAX(AC20*(1+Assumptions!$B$14),Assumptions!$B12),'Monthly Revenue'!AC20)</f>
        <v>210</v>
      </c>
      <c r="AE20" s="106">
        <f>IF(MOD(AE$2,12)=4,MAX(AD20*(1+Assumptions!$B$14),Assumptions!$B12),'Monthly Revenue'!AD20)</f>
        <v>210</v>
      </c>
      <c r="AF20" s="106">
        <f>IF(MOD(AF$2,12)=4,MAX(AE20*(1+Assumptions!$B$14),Assumptions!$B12),'Monthly Revenue'!AE20)</f>
        <v>220.5</v>
      </c>
      <c r="AG20" s="106">
        <f>IF(MOD(AG$2,12)=4,MAX(AF20*(1+Assumptions!$B$14),Assumptions!$B12),'Monthly Revenue'!AF20)</f>
        <v>220.5</v>
      </c>
      <c r="AH20" s="106">
        <f>IF(MOD(AH$2,12)=4,MAX(AG20*(1+Assumptions!$B$14),Assumptions!$B12),'Monthly Revenue'!AG20)</f>
        <v>220.5</v>
      </c>
      <c r="AI20" s="106">
        <f>IF(MOD(AI$2,12)=4,MAX(AH20*(1+Assumptions!$B$14),Assumptions!$B12),'Monthly Revenue'!AH20)</f>
        <v>220.5</v>
      </c>
      <c r="AJ20" s="106">
        <f>IF(MOD(AJ$2,12)=4,MAX(AI20*(1+Assumptions!$B$14),Assumptions!$B12),'Monthly Revenue'!AI20)</f>
        <v>220.5</v>
      </c>
      <c r="AK20" s="106">
        <f>IF(MOD(AK$2,12)=4,MAX(AJ20*(1+Assumptions!$B$14),Assumptions!$B12),'Monthly Revenue'!AJ20)</f>
        <v>220.5</v>
      </c>
      <c r="AL20" s="106">
        <f>IF(MOD(AL$2,12)=4,MAX(AK20*(1+Assumptions!$B$14),Assumptions!$B12),'Monthly Revenue'!AK20)</f>
        <v>220.5</v>
      </c>
      <c r="AM20" s="106">
        <f>IF(MOD(AM$2,12)=4,MAX(AL20*(1+Assumptions!$B$14),Assumptions!$B12),'Monthly Revenue'!AL20)</f>
        <v>220.5</v>
      </c>
      <c r="AN20" s="106">
        <f>IF(MOD(AN$2,12)=4,MAX(AM20*(1+Assumptions!$B$14),Assumptions!$B12),'Monthly Revenue'!AM20)</f>
        <v>220.5</v>
      </c>
    </row>
    <row r="21" spans="1:40" x14ac:dyDescent="0.25">
      <c r="A21" t="s">
        <v>116</v>
      </c>
      <c r="E21" s="106">
        <f>IF(MOD(E$2,12)=4,MAX(D21*(1+Assumptions!$B$14),Assumptions!$B13),'Monthly Revenue'!D21)</f>
        <v>0</v>
      </c>
      <c r="F21" s="106">
        <f>IF(MOD(F$2,12)=4,MAX(E21*(1+Assumptions!$B$14),Assumptions!$B13),'Monthly Revenue'!E21)</f>
        <v>0</v>
      </c>
      <c r="G21" s="106">
        <f>IF(MOD(G$2,12)=4,MAX(F21*(1+Assumptions!$B$14),Assumptions!$B13),'Monthly Revenue'!F21)</f>
        <v>0</v>
      </c>
      <c r="H21" s="106">
        <f>IF(MOD(H$2,12)=4,MAX(G21*(1+Assumptions!$B$14),Assumptions!$B13),'Monthly Revenue'!G21)</f>
        <v>1000</v>
      </c>
      <c r="I21" s="106">
        <f>IF(MOD(I$2,12)=4,MAX(H21*(1+Assumptions!$B$14),Assumptions!$B13),'Monthly Revenue'!H21)</f>
        <v>1000</v>
      </c>
      <c r="J21" s="106">
        <f>IF(MOD(J$2,12)=4,MAX(I21*(1+Assumptions!$B$14),Assumptions!$B13),'Monthly Revenue'!I21)</f>
        <v>1000</v>
      </c>
      <c r="K21" s="106">
        <f>IF(MOD(K$2,12)=4,MAX(J21*(1+Assumptions!$B$14),Assumptions!$B13),'Monthly Revenue'!J21)</f>
        <v>1000</v>
      </c>
      <c r="L21" s="106">
        <f>IF(MOD(L$2,12)=4,MAX(K21*(1+Assumptions!$B$14),Assumptions!$B13),'Monthly Revenue'!K21)</f>
        <v>1000</v>
      </c>
      <c r="M21" s="106">
        <f>IF(MOD(M$2,12)=4,MAX(L21*(1+Assumptions!$B$14),Assumptions!$B13),'Monthly Revenue'!L21)</f>
        <v>1000</v>
      </c>
      <c r="N21" s="106">
        <f>IF(MOD(N$2,12)=4,MAX(M21*(1+Assumptions!$B$14),Assumptions!$B13),'Monthly Revenue'!M21)</f>
        <v>1000</v>
      </c>
      <c r="O21" s="106">
        <f>IF(MOD(O$2,12)=4,MAX(N21*(1+Assumptions!$B$14),Assumptions!$B13),'Monthly Revenue'!N21)</f>
        <v>1000</v>
      </c>
      <c r="P21" s="106">
        <f>IF(MOD(P$2,12)=4,MAX(O21*(1+Assumptions!$B$14),Assumptions!$B13),'Monthly Revenue'!O21)</f>
        <v>1000</v>
      </c>
      <c r="Q21" s="106">
        <f>IF(MOD(Q$2,12)=4,MAX(P21*(1+Assumptions!$B$14),Assumptions!$B13),'Monthly Revenue'!P21)</f>
        <v>1000</v>
      </c>
      <c r="R21" s="106">
        <f>IF(MOD(R$2,12)=4,MAX(Q21*(1+Assumptions!$B$14),Assumptions!$B13),'Monthly Revenue'!Q21)</f>
        <v>1000</v>
      </c>
      <c r="S21" s="106">
        <f>IF(MOD(S$2,12)=4,MAX(R21*(1+Assumptions!$B$14),Assumptions!$B13),'Monthly Revenue'!R21)</f>
        <v>1000</v>
      </c>
      <c r="T21" s="106">
        <f>IF(MOD(T$2,12)=4,MAX(S21*(1+Assumptions!$B$14),Assumptions!$B13),'Monthly Revenue'!S21)</f>
        <v>1050</v>
      </c>
      <c r="U21" s="106">
        <f>IF(MOD(U$2,12)=4,MAX(T21*(1+Assumptions!$B$14),Assumptions!$B13),'Monthly Revenue'!T21)</f>
        <v>1050</v>
      </c>
      <c r="V21" s="106">
        <f>IF(MOD(V$2,12)=4,MAX(U21*(1+Assumptions!$B$14),Assumptions!$B13),'Monthly Revenue'!U21)</f>
        <v>1050</v>
      </c>
      <c r="W21" s="106">
        <f>IF(MOD(W$2,12)=4,MAX(V21*(1+Assumptions!$B$14),Assumptions!$B13),'Monthly Revenue'!V21)</f>
        <v>1050</v>
      </c>
      <c r="X21" s="106">
        <f>IF(MOD(X$2,12)=4,MAX(W21*(1+Assumptions!$B$14),Assumptions!$B13),'Monthly Revenue'!W21)</f>
        <v>1050</v>
      </c>
      <c r="Y21" s="106">
        <f>IF(MOD(Y$2,12)=4,MAX(X21*(1+Assumptions!$B$14),Assumptions!$B13),'Monthly Revenue'!X21)</f>
        <v>1050</v>
      </c>
      <c r="Z21" s="106">
        <f>IF(MOD(Z$2,12)=4,MAX(Y21*(1+Assumptions!$B$14),Assumptions!$B13),'Monthly Revenue'!Y21)</f>
        <v>1050</v>
      </c>
      <c r="AA21" s="106">
        <f>IF(MOD(AA$2,12)=4,MAX(Z21*(1+Assumptions!$B$14),Assumptions!$B13),'Monthly Revenue'!Z21)</f>
        <v>1050</v>
      </c>
      <c r="AB21" s="106">
        <f>IF(MOD(AB$2,12)=4,MAX(AA21*(1+Assumptions!$B$14),Assumptions!$B13),'Monthly Revenue'!AA21)</f>
        <v>1050</v>
      </c>
      <c r="AC21" s="106">
        <f>IF(MOD(AC$2,12)=4,MAX(AB21*(1+Assumptions!$B$14),Assumptions!$B13),'Monthly Revenue'!AB21)</f>
        <v>1050</v>
      </c>
      <c r="AD21" s="106">
        <f>IF(MOD(AD$2,12)=4,MAX(AC21*(1+Assumptions!$B$14),Assumptions!$B13),'Monthly Revenue'!AC21)</f>
        <v>1050</v>
      </c>
      <c r="AE21" s="106">
        <f>IF(MOD(AE$2,12)=4,MAX(AD21*(1+Assumptions!$B$14),Assumptions!$B13),'Monthly Revenue'!AD21)</f>
        <v>1050</v>
      </c>
      <c r="AF21" s="106">
        <f>IF(MOD(AF$2,12)=4,MAX(AE21*(1+Assumptions!$B$14),Assumptions!$B13),'Monthly Revenue'!AE21)</f>
        <v>1102.5</v>
      </c>
      <c r="AG21" s="106">
        <f>IF(MOD(AG$2,12)=4,MAX(AF21*(1+Assumptions!$B$14),Assumptions!$B13),'Monthly Revenue'!AF21)</f>
        <v>1102.5</v>
      </c>
      <c r="AH21" s="106">
        <f>IF(MOD(AH$2,12)=4,MAX(AG21*(1+Assumptions!$B$14),Assumptions!$B13),'Monthly Revenue'!AG21)</f>
        <v>1102.5</v>
      </c>
      <c r="AI21" s="106">
        <f>IF(MOD(AI$2,12)=4,MAX(AH21*(1+Assumptions!$B$14),Assumptions!$B13),'Monthly Revenue'!AH21)</f>
        <v>1102.5</v>
      </c>
      <c r="AJ21" s="106">
        <f>IF(MOD(AJ$2,12)=4,MAX(AI21*(1+Assumptions!$B$14),Assumptions!$B13),'Monthly Revenue'!AI21)</f>
        <v>1102.5</v>
      </c>
      <c r="AK21" s="106">
        <f>IF(MOD(AK$2,12)=4,MAX(AJ21*(1+Assumptions!$B$14),Assumptions!$B13),'Monthly Revenue'!AJ21)</f>
        <v>1102.5</v>
      </c>
      <c r="AL21" s="106">
        <f>IF(MOD(AL$2,12)=4,MAX(AK21*(1+Assumptions!$B$14),Assumptions!$B13),'Monthly Revenue'!AK21)</f>
        <v>1102.5</v>
      </c>
      <c r="AM21" s="106">
        <f>IF(MOD(AM$2,12)=4,MAX(AL21*(1+Assumptions!$B$14),Assumptions!$B13),'Monthly Revenue'!AL21)</f>
        <v>1102.5</v>
      </c>
      <c r="AN21" s="106">
        <f>IF(MOD(AN$2,12)=4,MAX(AM21*(1+Assumptions!$B$14),Assumptions!$B13),'Monthly Revenue'!AM21)</f>
        <v>1102.5</v>
      </c>
    </row>
    <row r="22" spans="1:40" s="108" customFormat="1" x14ac:dyDescent="0.25">
      <c r="A22" s="103" t="s">
        <v>117</v>
      </c>
      <c r="B22" s="104"/>
      <c r="C22" s="104"/>
      <c r="D22" s="104"/>
      <c r="E22" s="107">
        <f>SUM(E19:E21)</f>
        <v>0</v>
      </c>
      <c r="F22" s="107">
        <f t="shared" ref="F22:AN22" si="3">SUM(F19:F21)</f>
        <v>0</v>
      </c>
      <c r="G22" s="107">
        <f t="shared" si="3"/>
        <v>0</v>
      </c>
      <c r="H22" s="107">
        <f t="shared" si="3"/>
        <v>1500</v>
      </c>
      <c r="I22" s="107">
        <f t="shared" si="3"/>
        <v>1500</v>
      </c>
      <c r="J22" s="107">
        <f t="shared" si="3"/>
        <v>1500</v>
      </c>
      <c r="K22" s="107">
        <f t="shared" si="3"/>
        <v>1500</v>
      </c>
      <c r="L22" s="107">
        <f t="shared" si="3"/>
        <v>1500</v>
      </c>
      <c r="M22" s="107">
        <f t="shared" si="3"/>
        <v>1500</v>
      </c>
      <c r="N22" s="107">
        <f t="shared" si="3"/>
        <v>1500</v>
      </c>
      <c r="O22" s="107">
        <f t="shared" si="3"/>
        <v>1500</v>
      </c>
      <c r="P22" s="107">
        <f t="shared" si="3"/>
        <v>1500</v>
      </c>
      <c r="Q22" s="107">
        <f t="shared" si="3"/>
        <v>1500</v>
      </c>
      <c r="R22" s="107">
        <f t="shared" si="3"/>
        <v>1500</v>
      </c>
      <c r="S22" s="107">
        <f t="shared" si="3"/>
        <v>1500</v>
      </c>
      <c r="T22" s="107">
        <f t="shared" si="3"/>
        <v>1575</v>
      </c>
      <c r="U22" s="107">
        <f t="shared" si="3"/>
        <v>1575</v>
      </c>
      <c r="V22" s="107">
        <f t="shared" si="3"/>
        <v>1575</v>
      </c>
      <c r="W22" s="107">
        <f t="shared" si="3"/>
        <v>1575</v>
      </c>
      <c r="X22" s="107">
        <f t="shared" si="3"/>
        <v>1575</v>
      </c>
      <c r="Y22" s="107">
        <f t="shared" si="3"/>
        <v>1575</v>
      </c>
      <c r="Z22" s="107">
        <f t="shared" si="3"/>
        <v>1575</v>
      </c>
      <c r="AA22" s="107">
        <f t="shared" si="3"/>
        <v>1575</v>
      </c>
      <c r="AB22" s="107">
        <f t="shared" si="3"/>
        <v>1575</v>
      </c>
      <c r="AC22" s="107">
        <f t="shared" si="3"/>
        <v>1575</v>
      </c>
      <c r="AD22" s="107">
        <f t="shared" si="3"/>
        <v>1575</v>
      </c>
      <c r="AE22" s="107">
        <f t="shared" si="3"/>
        <v>1575</v>
      </c>
      <c r="AF22" s="107">
        <f t="shared" si="3"/>
        <v>1653.75</v>
      </c>
      <c r="AG22" s="107">
        <f t="shared" si="3"/>
        <v>1653.75</v>
      </c>
      <c r="AH22" s="107">
        <f t="shared" si="3"/>
        <v>1653.75</v>
      </c>
      <c r="AI22" s="107">
        <f t="shared" si="3"/>
        <v>1653.75</v>
      </c>
      <c r="AJ22" s="107">
        <f t="shared" si="3"/>
        <v>1653.75</v>
      </c>
      <c r="AK22" s="107">
        <f t="shared" si="3"/>
        <v>1653.75</v>
      </c>
      <c r="AL22" s="107">
        <f t="shared" si="3"/>
        <v>1653.75</v>
      </c>
      <c r="AM22" s="107">
        <f t="shared" si="3"/>
        <v>1653.75</v>
      </c>
      <c r="AN22" s="107">
        <f t="shared" si="3"/>
        <v>1653.75</v>
      </c>
    </row>
    <row r="23" spans="1:40" x14ac:dyDescent="0.25">
      <c r="A23" s="9" t="s">
        <v>110</v>
      </c>
    </row>
    <row r="24" spans="1:40" x14ac:dyDescent="0.25">
      <c r="A24" t="s">
        <v>114</v>
      </c>
      <c r="E24" s="106">
        <f>IF(MOD(E$2,12)=4,MAX(D24*(1+Assumptions!$C$14),Assumptions!$F11),'Monthly Revenue'!D24)</f>
        <v>0</v>
      </c>
      <c r="F24" s="106">
        <f>IF(MOD(F$2,12)=4,MAX(E24*(1+Assumptions!$C$14),Assumptions!$F11),'Monthly Revenue'!E24)</f>
        <v>0</v>
      </c>
      <c r="G24" s="106">
        <f>IF(MOD(G$2,12)=4,MAX(F24*(1+Assumptions!$C$14),Assumptions!$F11),'Monthly Revenue'!F24)</f>
        <v>0</v>
      </c>
      <c r="H24" s="106">
        <f>IF(MOD(H$2,12)=4,MAX(G24*(1+Assumptions!$C$14),Assumptions!$F11),'Monthly Revenue'!G24)</f>
        <v>400</v>
      </c>
      <c r="I24" s="106">
        <f>IF(MOD(I$2,12)=4,MAX(H24*(1+Assumptions!$C$14),Assumptions!$F11),'Monthly Revenue'!H24)</f>
        <v>400</v>
      </c>
      <c r="J24" s="106">
        <f>IF(MOD(J$2,12)=4,MAX(I24*(1+Assumptions!$C$14),Assumptions!$F11),'Monthly Revenue'!I24)</f>
        <v>400</v>
      </c>
      <c r="K24" s="106">
        <f>IF(MOD(K$2,12)=4,MAX(J24*(1+Assumptions!$C$14),Assumptions!$F11),'Monthly Revenue'!J24)</f>
        <v>400</v>
      </c>
      <c r="L24" s="106">
        <f>IF(MOD(L$2,12)=4,MAX(K24*(1+Assumptions!$C$14),Assumptions!$F11),'Monthly Revenue'!K24)</f>
        <v>400</v>
      </c>
      <c r="M24" s="106">
        <f>IF(MOD(M$2,12)=4,MAX(L24*(1+Assumptions!$C$14),Assumptions!$F11),'Monthly Revenue'!L24)</f>
        <v>400</v>
      </c>
      <c r="N24" s="106">
        <f>IF(MOD(N$2,12)=4,MAX(M24*(1+Assumptions!$C$14),Assumptions!$F11),'Monthly Revenue'!M24)</f>
        <v>400</v>
      </c>
      <c r="O24" s="106">
        <f>IF(MOD(O$2,12)=4,MAX(N24*(1+Assumptions!$C$14),Assumptions!$F11),'Monthly Revenue'!N24)</f>
        <v>400</v>
      </c>
      <c r="P24" s="106">
        <f>IF(MOD(P$2,12)=4,MAX(O24*(1+Assumptions!$C$14),Assumptions!$F11),'Monthly Revenue'!O24)</f>
        <v>400</v>
      </c>
      <c r="Q24" s="106">
        <f>IF(MOD(Q$2,12)=4,MAX(P24*(1+Assumptions!$C$14),Assumptions!$F11),'Monthly Revenue'!P24)</f>
        <v>400</v>
      </c>
      <c r="R24" s="106">
        <f>IF(MOD(R$2,12)=4,MAX(Q24*(1+Assumptions!$C$14),Assumptions!$F11),'Monthly Revenue'!Q24)</f>
        <v>400</v>
      </c>
      <c r="S24" s="106">
        <f>IF(MOD(S$2,12)=4,MAX(R24*(1+Assumptions!$C$14),Assumptions!$F11),'Monthly Revenue'!R24)</f>
        <v>400</v>
      </c>
      <c r="T24" s="106">
        <f>IF(MOD(T$2,12)=4,MAX(S24*(1+Assumptions!$C$14),Assumptions!$F11),'Monthly Revenue'!S24)</f>
        <v>420</v>
      </c>
      <c r="U24" s="106">
        <f>IF(MOD(U$2,12)=4,MAX(T24*(1+Assumptions!$C$14),Assumptions!$F11),'Monthly Revenue'!T24)</f>
        <v>420</v>
      </c>
      <c r="V24" s="106">
        <f>IF(MOD(V$2,12)=4,MAX(U24*(1+Assumptions!$C$14),Assumptions!$F11),'Monthly Revenue'!U24)</f>
        <v>420</v>
      </c>
      <c r="W24" s="106">
        <f>IF(MOD(W$2,12)=4,MAX(V24*(1+Assumptions!$C$14),Assumptions!$F11),'Monthly Revenue'!V24)</f>
        <v>420</v>
      </c>
      <c r="X24" s="106">
        <f>IF(MOD(X$2,12)=4,MAX(W24*(1+Assumptions!$C$14),Assumptions!$F11),'Monthly Revenue'!W24)</f>
        <v>420</v>
      </c>
      <c r="Y24" s="106">
        <f>IF(MOD(Y$2,12)=4,MAX(X24*(1+Assumptions!$C$14),Assumptions!$F11),'Monthly Revenue'!X24)</f>
        <v>420</v>
      </c>
      <c r="Z24" s="106">
        <f>IF(MOD(Z$2,12)=4,MAX(Y24*(1+Assumptions!$C$14),Assumptions!$F11),'Monthly Revenue'!Y24)</f>
        <v>420</v>
      </c>
      <c r="AA24" s="106">
        <f>IF(MOD(AA$2,12)=4,MAX(Z24*(1+Assumptions!$C$14),Assumptions!$F11),'Monthly Revenue'!Z24)</f>
        <v>420</v>
      </c>
      <c r="AB24" s="106">
        <f>IF(MOD(AB$2,12)=4,MAX(AA24*(1+Assumptions!$C$14),Assumptions!$F11),'Monthly Revenue'!AA24)</f>
        <v>420</v>
      </c>
      <c r="AC24" s="106">
        <f>IF(MOD(AC$2,12)=4,MAX(AB24*(1+Assumptions!$C$14),Assumptions!$F11),'Monthly Revenue'!AB24)</f>
        <v>420</v>
      </c>
      <c r="AD24" s="106">
        <f>IF(MOD(AD$2,12)=4,MAX(AC24*(1+Assumptions!$C$14),Assumptions!$F11),'Monthly Revenue'!AC24)</f>
        <v>420</v>
      </c>
      <c r="AE24" s="106">
        <f>IF(MOD(AE$2,12)=4,MAX(AD24*(1+Assumptions!$C$14),Assumptions!$F11),'Monthly Revenue'!AD24)</f>
        <v>420</v>
      </c>
      <c r="AF24" s="106">
        <f>IF(MOD(AF$2,12)=4,MAX(AE24*(1+Assumptions!$C$14),Assumptions!$F11),'Monthly Revenue'!AE24)</f>
        <v>441</v>
      </c>
      <c r="AG24" s="106">
        <f>IF(MOD(AG$2,12)=4,MAX(AF24*(1+Assumptions!$C$14),Assumptions!$F11),'Monthly Revenue'!AF24)</f>
        <v>441</v>
      </c>
      <c r="AH24" s="106">
        <f>IF(MOD(AH$2,12)=4,MAX(AG24*(1+Assumptions!$C$14),Assumptions!$F11),'Monthly Revenue'!AG24)</f>
        <v>441</v>
      </c>
      <c r="AI24" s="106">
        <f>IF(MOD(AI$2,12)=4,MAX(AH24*(1+Assumptions!$C$14),Assumptions!$F11),'Monthly Revenue'!AH24)</f>
        <v>441</v>
      </c>
      <c r="AJ24" s="106">
        <f>IF(MOD(AJ$2,12)=4,MAX(AI24*(1+Assumptions!$C$14),Assumptions!$F11),'Monthly Revenue'!AI24)</f>
        <v>441</v>
      </c>
      <c r="AK24" s="106">
        <f>IF(MOD(AK$2,12)=4,MAX(AJ24*(1+Assumptions!$C$14),Assumptions!$F11),'Monthly Revenue'!AJ24)</f>
        <v>441</v>
      </c>
      <c r="AL24" s="106">
        <f>IF(MOD(AL$2,12)=4,MAX(AK24*(1+Assumptions!$C$14),Assumptions!$F11),'Monthly Revenue'!AK24)</f>
        <v>441</v>
      </c>
      <c r="AM24" s="106">
        <f>IF(MOD(AM$2,12)=4,MAX(AL24*(1+Assumptions!$C$14),Assumptions!$F11),'Monthly Revenue'!AL24)</f>
        <v>441</v>
      </c>
      <c r="AN24" s="106">
        <f>IF(MOD(AN$2,12)=4,MAX(AM24*(1+Assumptions!$C$14),Assumptions!$F11),'Monthly Revenue'!AM24)</f>
        <v>441</v>
      </c>
    </row>
    <row r="25" spans="1:40" x14ac:dyDescent="0.25">
      <c r="A25" t="s">
        <v>115</v>
      </c>
      <c r="E25" s="106">
        <f>IF(MOD(E$2,12)=4,MAX(D25*(1+Assumptions!$C$14),Assumptions!$F12),'Monthly Revenue'!D25)</f>
        <v>0</v>
      </c>
      <c r="F25" s="106">
        <f>IF(MOD(F$2,12)=4,MAX(E25*(1+Assumptions!$C$14),Assumptions!$F12),'Monthly Revenue'!E25)</f>
        <v>0</v>
      </c>
      <c r="G25" s="106">
        <f>IF(MOD(G$2,12)=4,MAX(F25*(1+Assumptions!$C$14),Assumptions!$F12),'Monthly Revenue'!F25)</f>
        <v>0</v>
      </c>
      <c r="H25" s="106">
        <f>IF(MOD(H$2,12)=4,MAX(G25*(1+Assumptions!$C$14),Assumptions!$F12),'Monthly Revenue'!G25)</f>
        <v>200</v>
      </c>
      <c r="I25" s="106">
        <f>IF(MOD(I$2,12)=4,MAX(H25*(1+Assumptions!$C$14),Assumptions!$F12),'Monthly Revenue'!H25)</f>
        <v>200</v>
      </c>
      <c r="J25" s="106">
        <f>IF(MOD(J$2,12)=4,MAX(I25*(1+Assumptions!$C$14),Assumptions!$F12),'Monthly Revenue'!I25)</f>
        <v>200</v>
      </c>
      <c r="K25" s="106">
        <f>IF(MOD(K$2,12)=4,MAX(J25*(1+Assumptions!$C$14),Assumptions!$F12),'Monthly Revenue'!J25)</f>
        <v>200</v>
      </c>
      <c r="L25" s="106">
        <f>IF(MOD(L$2,12)=4,MAX(K25*(1+Assumptions!$C$14),Assumptions!$F12),'Monthly Revenue'!K25)</f>
        <v>200</v>
      </c>
      <c r="M25" s="106">
        <f>IF(MOD(M$2,12)=4,MAX(L25*(1+Assumptions!$C$14),Assumptions!$F12),'Monthly Revenue'!L25)</f>
        <v>200</v>
      </c>
      <c r="N25" s="106">
        <f>IF(MOD(N$2,12)=4,MAX(M25*(1+Assumptions!$C$14),Assumptions!$F12),'Monthly Revenue'!M25)</f>
        <v>200</v>
      </c>
      <c r="O25" s="106">
        <f>IF(MOD(O$2,12)=4,MAX(N25*(1+Assumptions!$C$14),Assumptions!$F12),'Monthly Revenue'!N25)</f>
        <v>200</v>
      </c>
      <c r="P25" s="106">
        <f>IF(MOD(P$2,12)=4,MAX(O25*(1+Assumptions!$C$14),Assumptions!$F12),'Monthly Revenue'!O25)</f>
        <v>200</v>
      </c>
      <c r="Q25" s="106">
        <f>IF(MOD(Q$2,12)=4,MAX(P25*(1+Assumptions!$C$14),Assumptions!$F12),'Monthly Revenue'!P25)</f>
        <v>200</v>
      </c>
      <c r="R25" s="106">
        <f>IF(MOD(R$2,12)=4,MAX(Q25*(1+Assumptions!$C$14),Assumptions!$F12),'Monthly Revenue'!Q25)</f>
        <v>200</v>
      </c>
      <c r="S25" s="106">
        <f>IF(MOD(S$2,12)=4,MAX(R25*(1+Assumptions!$C$14),Assumptions!$F12),'Monthly Revenue'!R25)</f>
        <v>200</v>
      </c>
      <c r="T25" s="106">
        <f>IF(MOD(T$2,12)=4,MAX(S25*(1+Assumptions!$C$14),Assumptions!$F12),'Monthly Revenue'!S25)</f>
        <v>210</v>
      </c>
      <c r="U25" s="106">
        <f>IF(MOD(U$2,12)=4,MAX(T25*(1+Assumptions!$C$14),Assumptions!$F12),'Monthly Revenue'!T25)</f>
        <v>210</v>
      </c>
      <c r="V25" s="106">
        <f>IF(MOD(V$2,12)=4,MAX(U25*(1+Assumptions!$C$14),Assumptions!$F12),'Monthly Revenue'!U25)</f>
        <v>210</v>
      </c>
      <c r="W25" s="106">
        <f>IF(MOD(W$2,12)=4,MAX(V25*(1+Assumptions!$C$14),Assumptions!$F12),'Monthly Revenue'!V25)</f>
        <v>210</v>
      </c>
      <c r="X25" s="106">
        <f>IF(MOD(X$2,12)=4,MAX(W25*(1+Assumptions!$C$14),Assumptions!$F12),'Monthly Revenue'!W25)</f>
        <v>210</v>
      </c>
      <c r="Y25" s="106">
        <f>IF(MOD(Y$2,12)=4,MAX(X25*(1+Assumptions!$C$14),Assumptions!$F12),'Monthly Revenue'!X25)</f>
        <v>210</v>
      </c>
      <c r="Z25" s="106">
        <f>IF(MOD(Z$2,12)=4,MAX(Y25*(1+Assumptions!$C$14),Assumptions!$F12),'Monthly Revenue'!Y25)</f>
        <v>210</v>
      </c>
      <c r="AA25" s="106">
        <f>IF(MOD(AA$2,12)=4,MAX(Z25*(1+Assumptions!$C$14),Assumptions!$F12),'Monthly Revenue'!Z25)</f>
        <v>210</v>
      </c>
      <c r="AB25" s="106">
        <f>IF(MOD(AB$2,12)=4,MAX(AA25*(1+Assumptions!$C$14),Assumptions!$F12),'Monthly Revenue'!AA25)</f>
        <v>210</v>
      </c>
      <c r="AC25" s="106">
        <f>IF(MOD(AC$2,12)=4,MAX(AB25*(1+Assumptions!$C$14),Assumptions!$F12),'Monthly Revenue'!AB25)</f>
        <v>210</v>
      </c>
      <c r="AD25" s="106">
        <f>IF(MOD(AD$2,12)=4,MAX(AC25*(1+Assumptions!$C$14),Assumptions!$F12),'Monthly Revenue'!AC25)</f>
        <v>210</v>
      </c>
      <c r="AE25" s="106">
        <f>IF(MOD(AE$2,12)=4,MAX(AD25*(1+Assumptions!$C$14),Assumptions!$F12),'Monthly Revenue'!AD25)</f>
        <v>210</v>
      </c>
      <c r="AF25" s="106">
        <f>IF(MOD(AF$2,12)=4,MAX(AE25*(1+Assumptions!$C$14),Assumptions!$F12),'Monthly Revenue'!AE25)</f>
        <v>220.5</v>
      </c>
      <c r="AG25" s="106">
        <f>IF(MOD(AG$2,12)=4,MAX(AF25*(1+Assumptions!$C$14),Assumptions!$F12),'Monthly Revenue'!AF25)</f>
        <v>220.5</v>
      </c>
      <c r="AH25" s="106">
        <f>IF(MOD(AH$2,12)=4,MAX(AG25*(1+Assumptions!$C$14),Assumptions!$F12),'Monthly Revenue'!AG25)</f>
        <v>220.5</v>
      </c>
      <c r="AI25" s="106">
        <f>IF(MOD(AI$2,12)=4,MAX(AH25*(1+Assumptions!$C$14),Assumptions!$F12),'Monthly Revenue'!AH25)</f>
        <v>220.5</v>
      </c>
      <c r="AJ25" s="106">
        <f>IF(MOD(AJ$2,12)=4,MAX(AI25*(1+Assumptions!$C$14),Assumptions!$F12),'Monthly Revenue'!AI25)</f>
        <v>220.5</v>
      </c>
      <c r="AK25" s="106">
        <f>IF(MOD(AK$2,12)=4,MAX(AJ25*(1+Assumptions!$C$14),Assumptions!$F12),'Monthly Revenue'!AJ25)</f>
        <v>220.5</v>
      </c>
      <c r="AL25" s="106">
        <f>IF(MOD(AL$2,12)=4,MAX(AK25*(1+Assumptions!$C$14),Assumptions!$F12),'Monthly Revenue'!AK25)</f>
        <v>220.5</v>
      </c>
      <c r="AM25" s="106">
        <f>IF(MOD(AM$2,12)=4,MAX(AL25*(1+Assumptions!$C$14),Assumptions!$F12),'Monthly Revenue'!AL25)</f>
        <v>220.5</v>
      </c>
      <c r="AN25" s="106">
        <f>IF(MOD(AN$2,12)=4,MAX(AM25*(1+Assumptions!$C$14),Assumptions!$F12),'Monthly Revenue'!AM25)</f>
        <v>220.5</v>
      </c>
    </row>
    <row r="26" spans="1:40" x14ac:dyDescent="0.25">
      <c r="A26" t="s">
        <v>116</v>
      </c>
      <c r="E26" s="106">
        <f>IF(MOD(E$2,12)=4,MAX(D26*(1+Assumptions!$C$14),Assumptions!$F13),'Monthly Revenue'!D26)</f>
        <v>0</v>
      </c>
      <c r="F26" s="106">
        <f>IF(MOD(F$2,12)=4,MAX(E26*(1+Assumptions!$C$14),Assumptions!$F13),'Monthly Revenue'!E26)</f>
        <v>0</v>
      </c>
      <c r="G26" s="106">
        <f>IF(MOD(G$2,12)=4,MAX(F26*(1+Assumptions!$C$14),Assumptions!$F13),'Monthly Revenue'!F26)</f>
        <v>0</v>
      </c>
      <c r="H26" s="106">
        <f>IF(MOD(H$2,12)=4,MAX(G26*(1+Assumptions!$C$14),Assumptions!$F13),'Monthly Revenue'!G26)</f>
        <v>1000</v>
      </c>
      <c r="I26" s="106">
        <f>IF(MOD(I$2,12)=4,MAX(H26*(1+Assumptions!$C$14),Assumptions!$F13),'Monthly Revenue'!H26)</f>
        <v>1000</v>
      </c>
      <c r="J26" s="106">
        <f>IF(MOD(J$2,12)=4,MAX(I26*(1+Assumptions!$C$14),Assumptions!$F13),'Monthly Revenue'!I26)</f>
        <v>1000</v>
      </c>
      <c r="K26" s="106">
        <f>IF(MOD(K$2,12)=4,MAX(J26*(1+Assumptions!$C$14),Assumptions!$F13),'Monthly Revenue'!J26)</f>
        <v>1000</v>
      </c>
      <c r="L26" s="106">
        <f>IF(MOD(L$2,12)=4,MAX(K26*(1+Assumptions!$C$14),Assumptions!$F13),'Monthly Revenue'!K26)</f>
        <v>1000</v>
      </c>
      <c r="M26" s="106">
        <f>IF(MOD(M$2,12)=4,MAX(L26*(1+Assumptions!$C$14),Assumptions!$F13),'Monthly Revenue'!L26)</f>
        <v>1000</v>
      </c>
      <c r="N26" s="106">
        <f>IF(MOD(N$2,12)=4,MAX(M26*(1+Assumptions!$C$14),Assumptions!$F13),'Monthly Revenue'!M26)</f>
        <v>1000</v>
      </c>
      <c r="O26" s="106">
        <f>IF(MOD(O$2,12)=4,MAX(N26*(1+Assumptions!$C$14),Assumptions!$F13),'Monthly Revenue'!N26)</f>
        <v>1000</v>
      </c>
      <c r="P26" s="106">
        <f>IF(MOD(P$2,12)=4,MAX(O26*(1+Assumptions!$C$14),Assumptions!$F13),'Monthly Revenue'!O26)</f>
        <v>1000</v>
      </c>
      <c r="Q26" s="106">
        <f>IF(MOD(Q$2,12)=4,MAX(P26*(1+Assumptions!$C$14),Assumptions!$F13),'Monthly Revenue'!P26)</f>
        <v>1000</v>
      </c>
      <c r="R26" s="106">
        <f>IF(MOD(R$2,12)=4,MAX(Q26*(1+Assumptions!$C$14),Assumptions!$F13),'Monthly Revenue'!Q26)</f>
        <v>1000</v>
      </c>
      <c r="S26" s="106">
        <f>IF(MOD(S$2,12)=4,MAX(R26*(1+Assumptions!$C$14),Assumptions!$F13),'Monthly Revenue'!R26)</f>
        <v>1000</v>
      </c>
      <c r="T26" s="106">
        <f>IF(MOD(T$2,12)=4,MAX(S26*(1+Assumptions!$C$14),Assumptions!$F13),'Monthly Revenue'!S26)</f>
        <v>1050</v>
      </c>
      <c r="U26" s="106">
        <f>IF(MOD(U$2,12)=4,MAX(T26*(1+Assumptions!$C$14),Assumptions!$F13),'Monthly Revenue'!T26)</f>
        <v>1050</v>
      </c>
      <c r="V26" s="106">
        <f>IF(MOD(V$2,12)=4,MAX(U26*(1+Assumptions!$C$14),Assumptions!$F13),'Monthly Revenue'!U26)</f>
        <v>1050</v>
      </c>
      <c r="W26" s="106">
        <f>IF(MOD(W$2,12)=4,MAX(V26*(1+Assumptions!$C$14),Assumptions!$F13),'Monthly Revenue'!V26)</f>
        <v>1050</v>
      </c>
      <c r="X26" s="106">
        <f>IF(MOD(X$2,12)=4,MAX(W26*(1+Assumptions!$C$14),Assumptions!$F13),'Monthly Revenue'!W26)</f>
        <v>1050</v>
      </c>
      <c r="Y26" s="106">
        <f>IF(MOD(Y$2,12)=4,MAX(X26*(1+Assumptions!$C$14),Assumptions!$F13),'Monthly Revenue'!X26)</f>
        <v>1050</v>
      </c>
      <c r="Z26" s="106">
        <f>IF(MOD(Z$2,12)=4,MAX(Y26*(1+Assumptions!$C$14),Assumptions!$F13),'Monthly Revenue'!Y26)</f>
        <v>1050</v>
      </c>
      <c r="AA26" s="106">
        <f>IF(MOD(AA$2,12)=4,MAX(Z26*(1+Assumptions!$C$14),Assumptions!$F13),'Monthly Revenue'!Z26)</f>
        <v>1050</v>
      </c>
      <c r="AB26" s="106">
        <f>IF(MOD(AB$2,12)=4,MAX(AA26*(1+Assumptions!$C$14),Assumptions!$F13),'Monthly Revenue'!AA26)</f>
        <v>1050</v>
      </c>
      <c r="AC26" s="106">
        <f>IF(MOD(AC$2,12)=4,MAX(AB26*(1+Assumptions!$C$14),Assumptions!$F13),'Monthly Revenue'!AB26)</f>
        <v>1050</v>
      </c>
      <c r="AD26" s="106">
        <f>IF(MOD(AD$2,12)=4,MAX(AC26*(1+Assumptions!$C$14),Assumptions!$F13),'Monthly Revenue'!AC26)</f>
        <v>1050</v>
      </c>
      <c r="AE26" s="106">
        <f>IF(MOD(AE$2,12)=4,MAX(AD26*(1+Assumptions!$C$14),Assumptions!$F13),'Monthly Revenue'!AD26)</f>
        <v>1050</v>
      </c>
      <c r="AF26" s="106">
        <f>IF(MOD(AF$2,12)=4,MAX(AE26*(1+Assumptions!$C$14),Assumptions!$F13),'Monthly Revenue'!AE26)</f>
        <v>1102.5</v>
      </c>
      <c r="AG26" s="106">
        <f>IF(MOD(AG$2,12)=4,MAX(AF26*(1+Assumptions!$C$14),Assumptions!$F13),'Monthly Revenue'!AF26)</f>
        <v>1102.5</v>
      </c>
      <c r="AH26" s="106">
        <f>IF(MOD(AH$2,12)=4,MAX(AG26*(1+Assumptions!$C$14),Assumptions!$F13),'Monthly Revenue'!AG26)</f>
        <v>1102.5</v>
      </c>
      <c r="AI26" s="106">
        <f>IF(MOD(AI$2,12)=4,MAX(AH26*(1+Assumptions!$C$14),Assumptions!$F13),'Monthly Revenue'!AH26)</f>
        <v>1102.5</v>
      </c>
      <c r="AJ26" s="106">
        <f>IF(MOD(AJ$2,12)=4,MAX(AI26*(1+Assumptions!$C$14),Assumptions!$F13),'Monthly Revenue'!AI26)</f>
        <v>1102.5</v>
      </c>
      <c r="AK26" s="106">
        <f>IF(MOD(AK$2,12)=4,MAX(AJ26*(1+Assumptions!$C$14),Assumptions!$F13),'Monthly Revenue'!AJ26)</f>
        <v>1102.5</v>
      </c>
      <c r="AL26" s="106">
        <f>IF(MOD(AL$2,12)=4,MAX(AK26*(1+Assumptions!$C$14),Assumptions!$F13),'Monthly Revenue'!AK26)</f>
        <v>1102.5</v>
      </c>
      <c r="AM26" s="106">
        <f>IF(MOD(AM$2,12)=4,MAX(AL26*(1+Assumptions!$C$14),Assumptions!$F13),'Monthly Revenue'!AL26)</f>
        <v>1102.5</v>
      </c>
      <c r="AN26" s="106">
        <f>IF(MOD(AN$2,12)=4,MAX(AM26*(1+Assumptions!$C$14),Assumptions!$F13),'Monthly Revenue'!AM26)</f>
        <v>1102.5</v>
      </c>
    </row>
    <row r="27" spans="1:40" s="108" customFormat="1" x14ac:dyDescent="0.25">
      <c r="A27" s="104" t="s">
        <v>117</v>
      </c>
      <c r="B27" s="104"/>
      <c r="C27" s="104"/>
      <c r="D27" s="104"/>
      <c r="E27" s="107">
        <f>SUM(E24:E26)</f>
        <v>0</v>
      </c>
      <c r="F27" s="107">
        <f t="shared" ref="F27:H27" si="4">SUM(F24:F26)</f>
        <v>0</v>
      </c>
      <c r="G27" s="107">
        <f t="shared" si="4"/>
        <v>0</v>
      </c>
      <c r="H27" s="107">
        <f t="shared" si="4"/>
        <v>1600</v>
      </c>
      <c r="I27" s="107">
        <f t="shared" ref="I27" si="5">SUM(I24:I26)</f>
        <v>1600</v>
      </c>
      <c r="J27" s="107">
        <f t="shared" ref="J27" si="6">SUM(J24:J26)</f>
        <v>1600</v>
      </c>
      <c r="K27" s="107">
        <f t="shared" ref="K27" si="7">SUM(K24:K26)</f>
        <v>1600</v>
      </c>
      <c r="L27" s="107">
        <f t="shared" ref="L27" si="8">SUM(L24:L26)</f>
        <v>1600</v>
      </c>
      <c r="M27" s="107">
        <f t="shared" ref="M27" si="9">SUM(M24:M26)</f>
        <v>1600</v>
      </c>
      <c r="N27" s="107">
        <f t="shared" ref="N27" si="10">SUM(N24:N26)</f>
        <v>1600</v>
      </c>
      <c r="O27" s="107">
        <f t="shared" ref="O27" si="11">SUM(O24:O26)</f>
        <v>1600</v>
      </c>
      <c r="P27" s="107">
        <f t="shared" ref="P27" si="12">SUM(P24:P26)</f>
        <v>1600</v>
      </c>
      <c r="Q27" s="107">
        <f t="shared" ref="Q27" si="13">SUM(Q24:Q26)</f>
        <v>1600</v>
      </c>
      <c r="R27" s="107">
        <f t="shared" ref="R27" si="14">SUM(R24:R26)</f>
        <v>1600</v>
      </c>
      <c r="S27" s="107">
        <f t="shared" ref="S27" si="15">SUM(S24:S26)</f>
        <v>1600</v>
      </c>
      <c r="T27" s="107">
        <f t="shared" ref="T27" si="16">SUM(T24:T26)</f>
        <v>1680</v>
      </c>
      <c r="U27" s="107">
        <f t="shared" ref="U27" si="17">SUM(U24:U26)</f>
        <v>1680</v>
      </c>
      <c r="V27" s="107">
        <f t="shared" ref="V27" si="18">SUM(V24:V26)</f>
        <v>1680</v>
      </c>
      <c r="W27" s="107">
        <f t="shared" ref="W27" si="19">SUM(W24:W26)</f>
        <v>1680</v>
      </c>
      <c r="X27" s="107">
        <f t="shared" ref="X27" si="20">SUM(X24:X26)</f>
        <v>1680</v>
      </c>
      <c r="Y27" s="107">
        <f t="shared" ref="Y27" si="21">SUM(Y24:Y26)</f>
        <v>1680</v>
      </c>
      <c r="Z27" s="107">
        <f t="shared" ref="Z27" si="22">SUM(Z24:Z26)</f>
        <v>1680</v>
      </c>
      <c r="AA27" s="107">
        <f t="shared" ref="AA27" si="23">SUM(AA24:AA26)</f>
        <v>1680</v>
      </c>
      <c r="AB27" s="107">
        <f t="shared" ref="AB27" si="24">SUM(AB24:AB26)</f>
        <v>1680</v>
      </c>
      <c r="AC27" s="107">
        <f t="shared" ref="AC27" si="25">SUM(AC24:AC26)</f>
        <v>1680</v>
      </c>
      <c r="AD27" s="107">
        <f t="shared" ref="AD27" si="26">SUM(AD24:AD26)</f>
        <v>1680</v>
      </c>
      <c r="AE27" s="107">
        <f t="shared" ref="AE27" si="27">SUM(AE24:AE26)</f>
        <v>1680</v>
      </c>
      <c r="AF27" s="107">
        <f t="shared" ref="AF27" si="28">SUM(AF24:AF26)</f>
        <v>1764</v>
      </c>
      <c r="AG27" s="107">
        <f t="shared" ref="AG27" si="29">SUM(AG24:AG26)</f>
        <v>1764</v>
      </c>
      <c r="AH27" s="107">
        <f t="shared" ref="AH27" si="30">SUM(AH24:AH26)</f>
        <v>1764</v>
      </c>
      <c r="AI27" s="107">
        <f t="shared" ref="AI27" si="31">SUM(AI24:AI26)</f>
        <v>1764</v>
      </c>
      <c r="AJ27" s="107">
        <f t="shared" ref="AJ27" si="32">SUM(AJ24:AJ26)</f>
        <v>1764</v>
      </c>
      <c r="AK27" s="107">
        <f t="shared" ref="AK27" si="33">SUM(AK24:AK26)</f>
        <v>1764</v>
      </c>
      <c r="AL27" s="107">
        <f t="shared" ref="AL27" si="34">SUM(AL24:AL26)</f>
        <v>1764</v>
      </c>
      <c r="AM27" s="107">
        <f t="shared" ref="AM27" si="35">SUM(AM24:AM26)</f>
        <v>1764</v>
      </c>
      <c r="AN27" s="107">
        <f t="shared" ref="AN27" si="36">SUM(AN24:AN26)</f>
        <v>1764</v>
      </c>
    </row>
    <row r="28" spans="1:40" x14ac:dyDescent="0.25">
      <c r="A28" s="101" t="s">
        <v>111</v>
      </c>
    </row>
    <row r="29" spans="1:40" x14ac:dyDescent="0.25">
      <c r="A29" s="9" t="s">
        <v>109</v>
      </c>
    </row>
    <row r="30" spans="1:40" x14ac:dyDescent="0.25">
      <c r="A30" t="s">
        <v>114</v>
      </c>
      <c r="E30" s="106">
        <f>IF(MOD(E$2,12)=4,MAX(D30*(1+Assumptions!$C$14),Assumptions!$C11),'Monthly Revenue'!D30)</f>
        <v>0</v>
      </c>
      <c r="F30" s="106">
        <f>IF(MOD(F$2,12)=4,MAX(E30*(1+Assumptions!$C$14),Assumptions!$C11),'Monthly Revenue'!E30)</f>
        <v>0</v>
      </c>
      <c r="G30" s="106">
        <f>IF(MOD(G$2,12)=4,MAX(F30*(1+Assumptions!$C$14),Assumptions!$C11),'Monthly Revenue'!F30)</f>
        <v>0</v>
      </c>
      <c r="H30" s="106">
        <f>IF(MOD(H$2,12)=4,MAX(G30*(1+Assumptions!$C$14),Assumptions!$C11),'Monthly Revenue'!G30)</f>
        <v>500</v>
      </c>
      <c r="I30" s="106">
        <f>IF(MOD(I$2,12)=4,MAX(H30*(1+Assumptions!$C$14),Assumptions!$C11),'Monthly Revenue'!H30)</f>
        <v>500</v>
      </c>
      <c r="J30" s="106">
        <f>IF(MOD(J$2,12)=4,MAX(I30*(1+Assumptions!$C$14),Assumptions!$C11),'Monthly Revenue'!I30)</f>
        <v>500</v>
      </c>
      <c r="K30" s="106">
        <f>IF(MOD(K$2,12)=4,MAX(J30*(1+Assumptions!$C$14),Assumptions!$C11),'Monthly Revenue'!J30)</f>
        <v>500</v>
      </c>
      <c r="L30" s="106">
        <f>IF(MOD(L$2,12)=4,MAX(K30*(1+Assumptions!$C$14),Assumptions!$C11),'Monthly Revenue'!K30)</f>
        <v>500</v>
      </c>
      <c r="M30" s="106">
        <f>IF(MOD(M$2,12)=4,MAX(L30*(1+Assumptions!$C$14),Assumptions!$C11),'Monthly Revenue'!L30)</f>
        <v>500</v>
      </c>
      <c r="N30" s="106">
        <f>IF(MOD(N$2,12)=4,MAX(M30*(1+Assumptions!$C$14),Assumptions!$C11),'Monthly Revenue'!M30)</f>
        <v>500</v>
      </c>
      <c r="O30" s="106">
        <f>IF(MOD(O$2,12)=4,MAX(N30*(1+Assumptions!$C$14),Assumptions!$C11),'Monthly Revenue'!N30)</f>
        <v>500</v>
      </c>
      <c r="P30" s="106">
        <f>IF(MOD(P$2,12)=4,MAX(O30*(1+Assumptions!$C$14),Assumptions!$C11),'Monthly Revenue'!O30)</f>
        <v>500</v>
      </c>
      <c r="Q30" s="106">
        <f>IF(MOD(Q$2,12)=4,MAX(P30*(1+Assumptions!$C$14),Assumptions!$C11),'Monthly Revenue'!P30)</f>
        <v>500</v>
      </c>
      <c r="R30" s="106">
        <f>IF(MOD(R$2,12)=4,MAX(Q30*(1+Assumptions!$C$14),Assumptions!$C11),'Monthly Revenue'!Q30)</f>
        <v>500</v>
      </c>
      <c r="S30" s="106">
        <f>IF(MOD(S$2,12)=4,MAX(R30*(1+Assumptions!$C$14),Assumptions!$C11),'Monthly Revenue'!R30)</f>
        <v>500</v>
      </c>
      <c r="T30" s="106">
        <f>IF(MOD(T$2,12)=4,MAX(S30*(1+Assumptions!$C$14),Assumptions!$C11),'Monthly Revenue'!S30)</f>
        <v>525</v>
      </c>
      <c r="U30" s="106">
        <f>IF(MOD(U$2,12)=4,MAX(T30*(1+Assumptions!$C$14),Assumptions!$C11),'Monthly Revenue'!T30)</f>
        <v>525</v>
      </c>
      <c r="V30" s="106">
        <f>IF(MOD(V$2,12)=4,MAX(U30*(1+Assumptions!$C$14),Assumptions!$C11),'Monthly Revenue'!U30)</f>
        <v>525</v>
      </c>
      <c r="W30" s="106">
        <f>IF(MOD(W$2,12)=4,MAX(V30*(1+Assumptions!$C$14),Assumptions!$C11),'Monthly Revenue'!V30)</f>
        <v>525</v>
      </c>
      <c r="X30" s="106">
        <f>IF(MOD(X$2,12)=4,MAX(W30*(1+Assumptions!$C$14),Assumptions!$C11),'Monthly Revenue'!W30)</f>
        <v>525</v>
      </c>
      <c r="Y30" s="106">
        <f>IF(MOD(Y$2,12)=4,MAX(X30*(1+Assumptions!$C$14),Assumptions!$C11),'Monthly Revenue'!X30)</f>
        <v>525</v>
      </c>
      <c r="Z30" s="106">
        <f>IF(MOD(Z$2,12)=4,MAX(Y30*(1+Assumptions!$C$14),Assumptions!$C11),'Monthly Revenue'!Y30)</f>
        <v>525</v>
      </c>
      <c r="AA30" s="106">
        <f>IF(MOD(AA$2,12)=4,MAX(Z30*(1+Assumptions!$C$14),Assumptions!$C11),'Monthly Revenue'!Z30)</f>
        <v>525</v>
      </c>
      <c r="AB30" s="106">
        <f>IF(MOD(AB$2,12)=4,MAX(AA30*(1+Assumptions!$C$14),Assumptions!$C11),'Monthly Revenue'!AA30)</f>
        <v>525</v>
      </c>
      <c r="AC30" s="106">
        <f>IF(MOD(AC$2,12)=4,MAX(AB30*(1+Assumptions!$C$14),Assumptions!$C11),'Monthly Revenue'!AB30)</f>
        <v>525</v>
      </c>
      <c r="AD30" s="106">
        <f>IF(MOD(AD$2,12)=4,MAX(AC30*(1+Assumptions!$C$14),Assumptions!$C11),'Monthly Revenue'!AC30)</f>
        <v>525</v>
      </c>
      <c r="AE30" s="106">
        <f>IF(MOD(AE$2,12)=4,MAX(AD30*(1+Assumptions!$C$14),Assumptions!$C11),'Monthly Revenue'!AD30)</f>
        <v>525</v>
      </c>
      <c r="AF30" s="106">
        <f>IF(MOD(AF$2,12)=4,MAX(AE30*(1+Assumptions!$C$14),Assumptions!$C11),'Monthly Revenue'!AE30)</f>
        <v>551.25</v>
      </c>
      <c r="AG30" s="106">
        <f>IF(MOD(AG$2,12)=4,MAX(AF30*(1+Assumptions!$C$14),Assumptions!$C11),'Monthly Revenue'!AF30)</f>
        <v>551.25</v>
      </c>
      <c r="AH30" s="106">
        <f>IF(MOD(AH$2,12)=4,MAX(AG30*(1+Assumptions!$C$14),Assumptions!$C11),'Monthly Revenue'!AG30)</f>
        <v>551.25</v>
      </c>
      <c r="AI30" s="106">
        <f>IF(MOD(AI$2,12)=4,MAX(AH30*(1+Assumptions!$C$14),Assumptions!$C11),'Monthly Revenue'!AH30)</f>
        <v>551.25</v>
      </c>
      <c r="AJ30" s="106">
        <f>IF(MOD(AJ$2,12)=4,MAX(AI30*(1+Assumptions!$C$14),Assumptions!$C11),'Monthly Revenue'!AI30)</f>
        <v>551.25</v>
      </c>
      <c r="AK30" s="106">
        <f>IF(MOD(AK$2,12)=4,MAX(AJ30*(1+Assumptions!$C$14),Assumptions!$C11),'Monthly Revenue'!AJ30)</f>
        <v>551.25</v>
      </c>
      <c r="AL30" s="106">
        <f>IF(MOD(AL$2,12)=4,MAX(AK30*(1+Assumptions!$C$14),Assumptions!$C11),'Monthly Revenue'!AK30)</f>
        <v>551.25</v>
      </c>
      <c r="AM30" s="106">
        <f>IF(MOD(AM$2,12)=4,MAX(AL30*(1+Assumptions!$C$14),Assumptions!$C11),'Monthly Revenue'!AL30)</f>
        <v>551.25</v>
      </c>
      <c r="AN30" s="106">
        <f>IF(MOD(AN$2,12)=4,MAX(AM30*(1+Assumptions!$C$14),Assumptions!$C11),'Monthly Revenue'!AM30)</f>
        <v>551.25</v>
      </c>
    </row>
    <row r="31" spans="1:40" x14ac:dyDescent="0.25">
      <c r="A31" t="s">
        <v>115</v>
      </c>
      <c r="E31" s="106">
        <f>IF(MOD(E$2,12)=4,MAX(D31*(1+Assumptions!$C$14),Assumptions!$C12),'Monthly Revenue'!D31)</f>
        <v>0</v>
      </c>
      <c r="F31" s="106">
        <f>IF(MOD(F$2,12)=4,MAX(E31*(1+Assumptions!$C$14),Assumptions!$C12),'Monthly Revenue'!E31)</f>
        <v>0</v>
      </c>
      <c r="G31" s="106">
        <f>IF(MOD(G$2,12)=4,MAX(F31*(1+Assumptions!$C$14),Assumptions!$C12),'Monthly Revenue'!F31)</f>
        <v>0</v>
      </c>
      <c r="H31" s="106">
        <f>IF(MOD(H$2,12)=4,MAX(G31*(1+Assumptions!$C$14),Assumptions!$C12),'Monthly Revenue'!G31)</f>
        <v>200</v>
      </c>
      <c r="I31" s="106">
        <f>IF(MOD(I$2,12)=4,MAX(H31*(1+Assumptions!$C$14),Assumptions!$C12),'Monthly Revenue'!H31)</f>
        <v>200</v>
      </c>
      <c r="J31" s="106">
        <f>IF(MOD(J$2,12)=4,MAX(I31*(1+Assumptions!$C$14),Assumptions!$C12),'Monthly Revenue'!I31)</f>
        <v>200</v>
      </c>
      <c r="K31" s="106">
        <f>IF(MOD(K$2,12)=4,MAX(J31*(1+Assumptions!$C$14),Assumptions!$C12),'Monthly Revenue'!J31)</f>
        <v>200</v>
      </c>
      <c r="L31" s="106">
        <f>IF(MOD(L$2,12)=4,MAX(K31*(1+Assumptions!$C$14),Assumptions!$C12),'Monthly Revenue'!K31)</f>
        <v>200</v>
      </c>
      <c r="M31" s="106">
        <f>IF(MOD(M$2,12)=4,MAX(L31*(1+Assumptions!$C$14),Assumptions!$C12),'Monthly Revenue'!L31)</f>
        <v>200</v>
      </c>
      <c r="N31" s="106">
        <f>IF(MOD(N$2,12)=4,MAX(M31*(1+Assumptions!$C$14),Assumptions!$C12),'Monthly Revenue'!M31)</f>
        <v>200</v>
      </c>
      <c r="O31" s="106">
        <f>IF(MOD(O$2,12)=4,MAX(N31*(1+Assumptions!$C$14),Assumptions!$C12),'Monthly Revenue'!N31)</f>
        <v>200</v>
      </c>
      <c r="P31" s="106">
        <f>IF(MOD(P$2,12)=4,MAX(O31*(1+Assumptions!$C$14),Assumptions!$C12),'Monthly Revenue'!O31)</f>
        <v>200</v>
      </c>
      <c r="Q31" s="106">
        <f>IF(MOD(Q$2,12)=4,MAX(P31*(1+Assumptions!$C$14),Assumptions!$C12),'Monthly Revenue'!P31)</f>
        <v>200</v>
      </c>
      <c r="R31" s="106">
        <f>IF(MOD(R$2,12)=4,MAX(Q31*(1+Assumptions!$C$14),Assumptions!$C12),'Monthly Revenue'!Q31)</f>
        <v>200</v>
      </c>
      <c r="S31" s="106">
        <f>IF(MOD(S$2,12)=4,MAX(R31*(1+Assumptions!$C$14),Assumptions!$C12),'Monthly Revenue'!R31)</f>
        <v>200</v>
      </c>
      <c r="T31" s="106">
        <f>IF(MOD(T$2,12)=4,MAX(S31*(1+Assumptions!$C$14),Assumptions!$C12),'Monthly Revenue'!S31)</f>
        <v>210</v>
      </c>
      <c r="U31" s="106">
        <f>IF(MOD(U$2,12)=4,MAX(T31*(1+Assumptions!$C$14),Assumptions!$C12),'Monthly Revenue'!T31)</f>
        <v>210</v>
      </c>
      <c r="V31" s="106">
        <f>IF(MOD(V$2,12)=4,MAX(U31*(1+Assumptions!$C$14),Assumptions!$C12),'Monthly Revenue'!U31)</f>
        <v>210</v>
      </c>
      <c r="W31" s="106">
        <f>IF(MOD(W$2,12)=4,MAX(V31*(1+Assumptions!$C$14),Assumptions!$C12),'Monthly Revenue'!V31)</f>
        <v>210</v>
      </c>
      <c r="X31" s="106">
        <f>IF(MOD(X$2,12)=4,MAX(W31*(1+Assumptions!$C$14),Assumptions!$C12),'Monthly Revenue'!W31)</f>
        <v>210</v>
      </c>
      <c r="Y31" s="106">
        <f>IF(MOD(Y$2,12)=4,MAX(X31*(1+Assumptions!$C$14),Assumptions!$C12),'Monthly Revenue'!X31)</f>
        <v>210</v>
      </c>
      <c r="Z31" s="106">
        <f>IF(MOD(Z$2,12)=4,MAX(Y31*(1+Assumptions!$C$14),Assumptions!$C12),'Monthly Revenue'!Y31)</f>
        <v>210</v>
      </c>
      <c r="AA31" s="106">
        <f>IF(MOD(AA$2,12)=4,MAX(Z31*(1+Assumptions!$C$14),Assumptions!$C12),'Monthly Revenue'!Z31)</f>
        <v>210</v>
      </c>
      <c r="AB31" s="106">
        <f>IF(MOD(AB$2,12)=4,MAX(AA31*(1+Assumptions!$C$14),Assumptions!$C12),'Monthly Revenue'!AA31)</f>
        <v>210</v>
      </c>
      <c r="AC31" s="106">
        <f>IF(MOD(AC$2,12)=4,MAX(AB31*(1+Assumptions!$C$14),Assumptions!$C12),'Monthly Revenue'!AB31)</f>
        <v>210</v>
      </c>
      <c r="AD31" s="106">
        <f>IF(MOD(AD$2,12)=4,MAX(AC31*(1+Assumptions!$C$14),Assumptions!$C12),'Monthly Revenue'!AC31)</f>
        <v>210</v>
      </c>
      <c r="AE31" s="106">
        <f>IF(MOD(AE$2,12)=4,MAX(AD31*(1+Assumptions!$C$14),Assumptions!$C12),'Monthly Revenue'!AD31)</f>
        <v>210</v>
      </c>
      <c r="AF31" s="106">
        <f>IF(MOD(AF$2,12)=4,MAX(AE31*(1+Assumptions!$C$14),Assumptions!$C12),'Monthly Revenue'!AE31)</f>
        <v>220.5</v>
      </c>
      <c r="AG31" s="106">
        <f>IF(MOD(AG$2,12)=4,MAX(AF31*(1+Assumptions!$C$14),Assumptions!$C12),'Monthly Revenue'!AF31)</f>
        <v>220.5</v>
      </c>
      <c r="AH31" s="106">
        <f>IF(MOD(AH$2,12)=4,MAX(AG31*(1+Assumptions!$C$14),Assumptions!$C12),'Monthly Revenue'!AG31)</f>
        <v>220.5</v>
      </c>
      <c r="AI31" s="106">
        <f>IF(MOD(AI$2,12)=4,MAX(AH31*(1+Assumptions!$C$14),Assumptions!$C12),'Monthly Revenue'!AH31)</f>
        <v>220.5</v>
      </c>
      <c r="AJ31" s="106">
        <f>IF(MOD(AJ$2,12)=4,MAX(AI31*(1+Assumptions!$C$14),Assumptions!$C12),'Monthly Revenue'!AI31)</f>
        <v>220.5</v>
      </c>
      <c r="AK31" s="106">
        <f>IF(MOD(AK$2,12)=4,MAX(AJ31*(1+Assumptions!$C$14),Assumptions!$C12),'Monthly Revenue'!AJ31)</f>
        <v>220.5</v>
      </c>
      <c r="AL31" s="106">
        <f>IF(MOD(AL$2,12)=4,MAX(AK31*(1+Assumptions!$C$14),Assumptions!$C12),'Monthly Revenue'!AK31)</f>
        <v>220.5</v>
      </c>
      <c r="AM31" s="106">
        <f>IF(MOD(AM$2,12)=4,MAX(AL31*(1+Assumptions!$C$14),Assumptions!$C12),'Monthly Revenue'!AL31)</f>
        <v>220.5</v>
      </c>
      <c r="AN31" s="106">
        <f>IF(MOD(AN$2,12)=4,MAX(AM31*(1+Assumptions!$C$14),Assumptions!$C12),'Monthly Revenue'!AM31)</f>
        <v>220.5</v>
      </c>
    </row>
    <row r="32" spans="1:40" x14ac:dyDescent="0.25">
      <c r="A32" t="s">
        <v>116</v>
      </c>
      <c r="E32" s="106">
        <f>IF(MOD(E$2,12)=4,MAX(D32*(1+Assumptions!$C$14),Assumptions!$C13),'Monthly Revenue'!D32)</f>
        <v>0</v>
      </c>
      <c r="F32" s="106">
        <f>IF(MOD(F$2,12)=4,MAX(E32*(1+Assumptions!$C$14),Assumptions!$C13),'Monthly Revenue'!E32)</f>
        <v>0</v>
      </c>
      <c r="G32" s="106">
        <f>IF(MOD(G$2,12)=4,MAX(F32*(1+Assumptions!$C$14),Assumptions!$C13),'Monthly Revenue'!F32)</f>
        <v>0</v>
      </c>
      <c r="H32" s="106">
        <f>IF(MOD(H$2,12)=4,MAX(G32*(1+Assumptions!$C$14),Assumptions!$C13),'Monthly Revenue'!G32)</f>
        <v>1000</v>
      </c>
      <c r="I32" s="106">
        <f>IF(MOD(I$2,12)=4,MAX(H32*(1+Assumptions!$C$14),Assumptions!$C13),'Monthly Revenue'!H32)</f>
        <v>1000</v>
      </c>
      <c r="J32" s="106">
        <f>IF(MOD(J$2,12)=4,MAX(I32*(1+Assumptions!$C$14),Assumptions!$C13),'Monthly Revenue'!I32)</f>
        <v>1000</v>
      </c>
      <c r="K32" s="106">
        <f>IF(MOD(K$2,12)=4,MAX(J32*(1+Assumptions!$C$14),Assumptions!$C13),'Monthly Revenue'!J32)</f>
        <v>1000</v>
      </c>
      <c r="L32" s="106">
        <f>IF(MOD(L$2,12)=4,MAX(K32*(1+Assumptions!$C$14),Assumptions!$C13),'Monthly Revenue'!K32)</f>
        <v>1000</v>
      </c>
      <c r="M32" s="106">
        <f>IF(MOD(M$2,12)=4,MAX(L32*(1+Assumptions!$C$14),Assumptions!$C13),'Monthly Revenue'!L32)</f>
        <v>1000</v>
      </c>
      <c r="N32" s="106">
        <f>IF(MOD(N$2,12)=4,MAX(M32*(1+Assumptions!$C$14),Assumptions!$C13),'Monthly Revenue'!M32)</f>
        <v>1000</v>
      </c>
      <c r="O32" s="106">
        <f>IF(MOD(O$2,12)=4,MAX(N32*(1+Assumptions!$C$14),Assumptions!$C13),'Monthly Revenue'!N32)</f>
        <v>1000</v>
      </c>
      <c r="P32" s="106">
        <f>IF(MOD(P$2,12)=4,MAX(O32*(1+Assumptions!$C$14),Assumptions!$C13),'Monthly Revenue'!O32)</f>
        <v>1000</v>
      </c>
      <c r="Q32" s="106">
        <f>IF(MOD(Q$2,12)=4,MAX(P32*(1+Assumptions!$C$14),Assumptions!$C13),'Monthly Revenue'!P32)</f>
        <v>1000</v>
      </c>
      <c r="R32" s="106">
        <f>IF(MOD(R$2,12)=4,MAX(Q32*(1+Assumptions!$C$14),Assumptions!$C13),'Monthly Revenue'!Q32)</f>
        <v>1000</v>
      </c>
      <c r="S32" s="106">
        <f>IF(MOD(S$2,12)=4,MAX(R32*(1+Assumptions!$C$14),Assumptions!$C13),'Monthly Revenue'!R32)</f>
        <v>1000</v>
      </c>
      <c r="T32" s="106">
        <f>IF(MOD(T$2,12)=4,MAX(S32*(1+Assumptions!$C$14),Assumptions!$C13),'Monthly Revenue'!S32)</f>
        <v>1050</v>
      </c>
      <c r="U32" s="106">
        <f>IF(MOD(U$2,12)=4,MAX(T32*(1+Assumptions!$C$14),Assumptions!$C13),'Monthly Revenue'!T32)</f>
        <v>1050</v>
      </c>
      <c r="V32" s="106">
        <f>IF(MOD(V$2,12)=4,MAX(U32*(1+Assumptions!$C$14),Assumptions!$C13),'Monthly Revenue'!U32)</f>
        <v>1050</v>
      </c>
      <c r="W32" s="106">
        <f>IF(MOD(W$2,12)=4,MAX(V32*(1+Assumptions!$C$14),Assumptions!$C13),'Monthly Revenue'!V32)</f>
        <v>1050</v>
      </c>
      <c r="X32" s="106">
        <f>IF(MOD(X$2,12)=4,MAX(W32*(1+Assumptions!$C$14),Assumptions!$C13),'Monthly Revenue'!W32)</f>
        <v>1050</v>
      </c>
      <c r="Y32" s="106">
        <f>IF(MOD(Y$2,12)=4,MAX(X32*(1+Assumptions!$C$14),Assumptions!$C13),'Monthly Revenue'!X32)</f>
        <v>1050</v>
      </c>
      <c r="Z32" s="106">
        <f>IF(MOD(Z$2,12)=4,MAX(Y32*(1+Assumptions!$C$14),Assumptions!$C13),'Monthly Revenue'!Y32)</f>
        <v>1050</v>
      </c>
      <c r="AA32" s="106">
        <f>IF(MOD(AA$2,12)=4,MAX(Z32*(1+Assumptions!$C$14),Assumptions!$C13),'Monthly Revenue'!Z32)</f>
        <v>1050</v>
      </c>
      <c r="AB32" s="106">
        <f>IF(MOD(AB$2,12)=4,MAX(AA32*(1+Assumptions!$C$14),Assumptions!$C13),'Monthly Revenue'!AA32)</f>
        <v>1050</v>
      </c>
      <c r="AC32" s="106">
        <f>IF(MOD(AC$2,12)=4,MAX(AB32*(1+Assumptions!$C$14),Assumptions!$C13),'Monthly Revenue'!AB32)</f>
        <v>1050</v>
      </c>
      <c r="AD32" s="106">
        <f>IF(MOD(AD$2,12)=4,MAX(AC32*(1+Assumptions!$C$14),Assumptions!$C13),'Monthly Revenue'!AC32)</f>
        <v>1050</v>
      </c>
      <c r="AE32" s="106">
        <f>IF(MOD(AE$2,12)=4,MAX(AD32*(1+Assumptions!$C$14),Assumptions!$C13),'Monthly Revenue'!AD32)</f>
        <v>1050</v>
      </c>
      <c r="AF32" s="106">
        <f>IF(MOD(AF$2,12)=4,MAX(AE32*(1+Assumptions!$C$14),Assumptions!$C13),'Monthly Revenue'!AE32)</f>
        <v>1102.5</v>
      </c>
      <c r="AG32" s="106">
        <f>IF(MOD(AG$2,12)=4,MAX(AF32*(1+Assumptions!$C$14),Assumptions!$C13),'Monthly Revenue'!AF32)</f>
        <v>1102.5</v>
      </c>
      <c r="AH32" s="106">
        <f>IF(MOD(AH$2,12)=4,MAX(AG32*(1+Assumptions!$C$14),Assumptions!$C13),'Monthly Revenue'!AG32)</f>
        <v>1102.5</v>
      </c>
      <c r="AI32" s="106">
        <f>IF(MOD(AI$2,12)=4,MAX(AH32*(1+Assumptions!$C$14),Assumptions!$C13),'Monthly Revenue'!AH32)</f>
        <v>1102.5</v>
      </c>
      <c r="AJ32" s="106">
        <f>IF(MOD(AJ$2,12)=4,MAX(AI32*(1+Assumptions!$C$14),Assumptions!$C13),'Monthly Revenue'!AI32)</f>
        <v>1102.5</v>
      </c>
      <c r="AK32" s="106">
        <f>IF(MOD(AK$2,12)=4,MAX(AJ32*(1+Assumptions!$C$14),Assumptions!$C13),'Monthly Revenue'!AJ32)</f>
        <v>1102.5</v>
      </c>
      <c r="AL32" s="106">
        <f>IF(MOD(AL$2,12)=4,MAX(AK32*(1+Assumptions!$C$14),Assumptions!$C13),'Monthly Revenue'!AK32)</f>
        <v>1102.5</v>
      </c>
      <c r="AM32" s="106">
        <f>IF(MOD(AM$2,12)=4,MAX(AL32*(1+Assumptions!$C$14),Assumptions!$C13),'Monthly Revenue'!AL32)</f>
        <v>1102.5</v>
      </c>
      <c r="AN32" s="106">
        <f>IF(MOD(AN$2,12)=4,MAX(AM32*(1+Assumptions!$C$14),Assumptions!$C13),'Monthly Revenue'!AM32)</f>
        <v>1102.5</v>
      </c>
    </row>
    <row r="33" spans="1:40" x14ac:dyDescent="0.25">
      <c r="A33" s="103" t="s">
        <v>117</v>
      </c>
      <c r="B33" s="105"/>
      <c r="C33" s="105"/>
      <c r="D33" s="105"/>
      <c r="E33" s="107">
        <f>SUM(E30:E32)</f>
        <v>0</v>
      </c>
      <c r="F33" s="107">
        <f t="shared" ref="F33:AN33" si="37">SUM(F30:F32)</f>
        <v>0</v>
      </c>
      <c r="G33" s="107">
        <f t="shared" si="37"/>
        <v>0</v>
      </c>
      <c r="H33" s="107">
        <f t="shared" si="37"/>
        <v>1700</v>
      </c>
      <c r="I33" s="107">
        <f t="shared" si="37"/>
        <v>1700</v>
      </c>
      <c r="J33" s="107">
        <f t="shared" si="37"/>
        <v>1700</v>
      </c>
      <c r="K33" s="107">
        <f t="shared" si="37"/>
        <v>1700</v>
      </c>
      <c r="L33" s="107">
        <f t="shared" si="37"/>
        <v>1700</v>
      </c>
      <c r="M33" s="107">
        <f t="shared" si="37"/>
        <v>1700</v>
      </c>
      <c r="N33" s="107">
        <f t="shared" si="37"/>
        <v>1700</v>
      </c>
      <c r="O33" s="107">
        <f t="shared" si="37"/>
        <v>1700</v>
      </c>
      <c r="P33" s="107">
        <f t="shared" si="37"/>
        <v>1700</v>
      </c>
      <c r="Q33" s="107">
        <f t="shared" si="37"/>
        <v>1700</v>
      </c>
      <c r="R33" s="107">
        <f t="shared" si="37"/>
        <v>1700</v>
      </c>
      <c r="S33" s="107">
        <f t="shared" si="37"/>
        <v>1700</v>
      </c>
      <c r="T33" s="107">
        <f t="shared" si="37"/>
        <v>1785</v>
      </c>
      <c r="U33" s="107">
        <f t="shared" si="37"/>
        <v>1785</v>
      </c>
      <c r="V33" s="107">
        <f t="shared" si="37"/>
        <v>1785</v>
      </c>
      <c r="W33" s="107">
        <f t="shared" si="37"/>
        <v>1785</v>
      </c>
      <c r="X33" s="107">
        <f t="shared" si="37"/>
        <v>1785</v>
      </c>
      <c r="Y33" s="107">
        <f t="shared" si="37"/>
        <v>1785</v>
      </c>
      <c r="Z33" s="107">
        <f t="shared" si="37"/>
        <v>1785</v>
      </c>
      <c r="AA33" s="107">
        <f t="shared" si="37"/>
        <v>1785</v>
      </c>
      <c r="AB33" s="107">
        <f t="shared" si="37"/>
        <v>1785</v>
      </c>
      <c r="AC33" s="107">
        <f t="shared" si="37"/>
        <v>1785</v>
      </c>
      <c r="AD33" s="107">
        <f t="shared" si="37"/>
        <v>1785</v>
      </c>
      <c r="AE33" s="107">
        <f t="shared" si="37"/>
        <v>1785</v>
      </c>
      <c r="AF33" s="107">
        <f t="shared" si="37"/>
        <v>1874.25</v>
      </c>
      <c r="AG33" s="107">
        <f t="shared" si="37"/>
        <v>1874.25</v>
      </c>
      <c r="AH33" s="107">
        <f t="shared" si="37"/>
        <v>1874.25</v>
      </c>
      <c r="AI33" s="107">
        <f t="shared" si="37"/>
        <v>1874.25</v>
      </c>
      <c r="AJ33" s="107">
        <f t="shared" si="37"/>
        <v>1874.25</v>
      </c>
      <c r="AK33" s="107">
        <f t="shared" si="37"/>
        <v>1874.25</v>
      </c>
      <c r="AL33" s="107">
        <f t="shared" si="37"/>
        <v>1874.25</v>
      </c>
      <c r="AM33" s="107">
        <f t="shared" si="37"/>
        <v>1874.25</v>
      </c>
      <c r="AN33" s="107">
        <f t="shared" si="37"/>
        <v>1874.25</v>
      </c>
    </row>
    <row r="34" spans="1:40" x14ac:dyDescent="0.25">
      <c r="A34" s="9" t="s">
        <v>110</v>
      </c>
    </row>
    <row r="35" spans="1:40" x14ac:dyDescent="0.25">
      <c r="A35" t="s">
        <v>114</v>
      </c>
      <c r="E35" s="106">
        <f>IF(MOD(E$2,12)=4,MAX(D35*(1+Assumptions!$G$14),Assumptions!$G11),'Monthly Revenue'!D35)</f>
        <v>0</v>
      </c>
      <c r="F35" s="106">
        <f>IF(MOD(F$2,12)=4,MAX(E35*(1+Assumptions!$G$14),Assumptions!$G11),'Monthly Revenue'!E35)</f>
        <v>0</v>
      </c>
      <c r="G35" s="106">
        <f>IF(MOD(G$2,12)=4,MAX(F35*(1+Assumptions!$G$14),Assumptions!$G11),'Monthly Revenue'!F35)</f>
        <v>0</v>
      </c>
      <c r="H35" s="106">
        <f>IF(MOD(H$2,12)=4,MAX(G35*(1+Assumptions!$G$14),Assumptions!$G11),'Monthly Revenue'!G35)</f>
        <v>650</v>
      </c>
      <c r="I35" s="106">
        <f>IF(MOD(I$2,12)=4,MAX(H35*(1+Assumptions!$G$14),Assumptions!$G11),'Monthly Revenue'!H35)</f>
        <v>650</v>
      </c>
      <c r="J35" s="106">
        <f>IF(MOD(J$2,12)=4,MAX(I35*(1+Assumptions!$G$14),Assumptions!$G11),'Monthly Revenue'!I35)</f>
        <v>650</v>
      </c>
      <c r="K35" s="106">
        <f>IF(MOD(K$2,12)=4,MAX(J35*(1+Assumptions!$G$14),Assumptions!$G11),'Monthly Revenue'!J35)</f>
        <v>650</v>
      </c>
      <c r="L35" s="106">
        <f>IF(MOD(L$2,12)=4,MAX(K35*(1+Assumptions!$G$14),Assumptions!$G11),'Monthly Revenue'!K35)</f>
        <v>650</v>
      </c>
      <c r="M35" s="106">
        <f>IF(MOD(M$2,12)=4,MAX(L35*(1+Assumptions!$G$14),Assumptions!$G11),'Monthly Revenue'!L35)</f>
        <v>650</v>
      </c>
      <c r="N35" s="106">
        <f>IF(MOD(N$2,12)=4,MAX(M35*(1+Assumptions!$G$14),Assumptions!$G11),'Monthly Revenue'!M35)</f>
        <v>650</v>
      </c>
      <c r="O35" s="106">
        <f>IF(MOD(O$2,12)=4,MAX(N35*(1+Assumptions!$G$14),Assumptions!$G11),'Monthly Revenue'!N35)</f>
        <v>650</v>
      </c>
      <c r="P35" s="106">
        <f>IF(MOD(P$2,12)=4,MAX(O35*(1+Assumptions!$G$14),Assumptions!$G11),'Monthly Revenue'!O35)</f>
        <v>650</v>
      </c>
      <c r="Q35" s="106">
        <f>IF(MOD(Q$2,12)=4,MAX(P35*(1+Assumptions!$G$14),Assumptions!$G11),'Monthly Revenue'!P35)</f>
        <v>650</v>
      </c>
      <c r="R35" s="106">
        <f>IF(MOD(R$2,12)=4,MAX(Q35*(1+Assumptions!$G$14),Assumptions!$G11),'Monthly Revenue'!Q35)</f>
        <v>650</v>
      </c>
      <c r="S35" s="106">
        <f>IF(MOD(S$2,12)=4,MAX(R35*(1+Assumptions!$G$14),Assumptions!$G11),'Monthly Revenue'!R35)</f>
        <v>650</v>
      </c>
      <c r="T35" s="106">
        <f>IF(MOD(T$2,12)=4,MAX(S35*(1+Assumptions!$G$14),Assumptions!$G11),'Monthly Revenue'!S35)</f>
        <v>682.5</v>
      </c>
      <c r="U35" s="106">
        <f>IF(MOD(U$2,12)=4,MAX(T35*(1+Assumptions!$G$14),Assumptions!$G11),'Monthly Revenue'!T35)</f>
        <v>682.5</v>
      </c>
      <c r="V35" s="106">
        <f>IF(MOD(V$2,12)=4,MAX(U35*(1+Assumptions!$G$14),Assumptions!$G11),'Monthly Revenue'!U35)</f>
        <v>682.5</v>
      </c>
      <c r="W35" s="106">
        <f>IF(MOD(W$2,12)=4,MAX(V35*(1+Assumptions!$G$14),Assumptions!$G11),'Monthly Revenue'!V35)</f>
        <v>682.5</v>
      </c>
      <c r="X35" s="106">
        <f>IF(MOD(X$2,12)=4,MAX(W35*(1+Assumptions!$G$14),Assumptions!$G11),'Monthly Revenue'!W35)</f>
        <v>682.5</v>
      </c>
      <c r="Y35" s="106">
        <f>IF(MOD(Y$2,12)=4,MAX(X35*(1+Assumptions!$G$14),Assumptions!$G11),'Monthly Revenue'!X35)</f>
        <v>682.5</v>
      </c>
      <c r="Z35" s="106">
        <f>IF(MOD(Z$2,12)=4,MAX(Y35*(1+Assumptions!$G$14),Assumptions!$G11),'Monthly Revenue'!Y35)</f>
        <v>682.5</v>
      </c>
      <c r="AA35" s="106">
        <f>IF(MOD(AA$2,12)=4,MAX(Z35*(1+Assumptions!$G$14),Assumptions!$G11),'Monthly Revenue'!Z35)</f>
        <v>682.5</v>
      </c>
      <c r="AB35" s="106">
        <f>IF(MOD(AB$2,12)=4,MAX(AA35*(1+Assumptions!$G$14),Assumptions!$G11),'Monthly Revenue'!AA35)</f>
        <v>682.5</v>
      </c>
      <c r="AC35" s="106">
        <f>IF(MOD(AC$2,12)=4,MAX(AB35*(1+Assumptions!$G$14),Assumptions!$G11),'Monthly Revenue'!AB35)</f>
        <v>682.5</v>
      </c>
      <c r="AD35" s="106">
        <f>IF(MOD(AD$2,12)=4,MAX(AC35*(1+Assumptions!$G$14),Assumptions!$G11),'Monthly Revenue'!AC35)</f>
        <v>682.5</v>
      </c>
      <c r="AE35" s="106">
        <f>IF(MOD(AE$2,12)=4,MAX(AD35*(1+Assumptions!$G$14),Assumptions!$G11),'Monthly Revenue'!AD35)</f>
        <v>682.5</v>
      </c>
      <c r="AF35" s="106">
        <f>IF(MOD(AF$2,12)=4,MAX(AE35*(1+Assumptions!$G$14),Assumptions!$G11),'Monthly Revenue'!AE35)</f>
        <v>716.625</v>
      </c>
      <c r="AG35" s="106">
        <f>IF(MOD(AG$2,12)=4,MAX(AF35*(1+Assumptions!$G$14),Assumptions!$G11),'Monthly Revenue'!AF35)</f>
        <v>716.625</v>
      </c>
      <c r="AH35" s="106">
        <f>IF(MOD(AH$2,12)=4,MAX(AG35*(1+Assumptions!$G$14),Assumptions!$G11),'Monthly Revenue'!AG35)</f>
        <v>716.625</v>
      </c>
      <c r="AI35" s="106">
        <f>IF(MOD(AI$2,12)=4,MAX(AH35*(1+Assumptions!$G$14),Assumptions!$G11),'Monthly Revenue'!AH35)</f>
        <v>716.625</v>
      </c>
      <c r="AJ35" s="106">
        <f>IF(MOD(AJ$2,12)=4,MAX(AI35*(1+Assumptions!$G$14),Assumptions!$G11),'Monthly Revenue'!AI35)</f>
        <v>716.625</v>
      </c>
      <c r="AK35" s="106">
        <f>IF(MOD(AK$2,12)=4,MAX(AJ35*(1+Assumptions!$G$14),Assumptions!$G11),'Monthly Revenue'!AJ35)</f>
        <v>716.625</v>
      </c>
      <c r="AL35" s="106">
        <f>IF(MOD(AL$2,12)=4,MAX(AK35*(1+Assumptions!$G$14),Assumptions!$G11),'Monthly Revenue'!AK35)</f>
        <v>716.625</v>
      </c>
      <c r="AM35" s="106">
        <f>IF(MOD(AM$2,12)=4,MAX(AL35*(1+Assumptions!$G$14),Assumptions!$G11),'Monthly Revenue'!AL35)</f>
        <v>716.625</v>
      </c>
      <c r="AN35" s="106">
        <f>IF(MOD(AN$2,12)=4,MAX(AM35*(1+Assumptions!$G$14),Assumptions!$G11),'Monthly Revenue'!AM35)</f>
        <v>716.625</v>
      </c>
    </row>
    <row r="36" spans="1:40" x14ac:dyDescent="0.25">
      <c r="A36" t="s">
        <v>115</v>
      </c>
      <c r="E36" s="106">
        <f>IF(MOD(E$2,12)=4,MAX(D36*(1+Assumptions!$G$14),Assumptions!$G12),'Monthly Revenue'!D36)</f>
        <v>0</v>
      </c>
      <c r="F36" s="106">
        <f>IF(MOD(F$2,12)=4,MAX(E36*(1+Assumptions!$G$14),Assumptions!$G12),'Monthly Revenue'!E36)</f>
        <v>0</v>
      </c>
      <c r="G36" s="106">
        <f>IF(MOD(G$2,12)=4,MAX(F36*(1+Assumptions!$G$14),Assumptions!$G12),'Monthly Revenue'!F36)</f>
        <v>0</v>
      </c>
      <c r="H36" s="106">
        <f>IF(MOD(H$2,12)=4,MAX(G36*(1+Assumptions!$G$14),Assumptions!$G12),'Monthly Revenue'!G36)</f>
        <v>250</v>
      </c>
      <c r="I36" s="106">
        <f>IF(MOD(I$2,12)=4,MAX(H36*(1+Assumptions!$G$14),Assumptions!$G12),'Monthly Revenue'!H36)</f>
        <v>250</v>
      </c>
      <c r="J36" s="106">
        <f>IF(MOD(J$2,12)=4,MAX(I36*(1+Assumptions!$G$14),Assumptions!$G12),'Monthly Revenue'!I36)</f>
        <v>250</v>
      </c>
      <c r="K36" s="106">
        <f>IF(MOD(K$2,12)=4,MAX(J36*(1+Assumptions!$G$14),Assumptions!$G12),'Monthly Revenue'!J36)</f>
        <v>250</v>
      </c>
      <c r="L36" s="106">
        <f>IF(MOD(L$2,12)=4,MAX(K36*(1+Assumptions!$G$14),Assumptions!$G12),'Monthly Revenue'!K36)</f>
        <v>250</v>
      </c>
      <c r="M36" s="106">
        <f>IF(MOD(M$2,12)=4,MAX(L36*(1+Assumptions!$G$14),Assumptions!$G12),'Monthly Revenue'!L36)</f>
        <v>250</v>
      </c>
      <c r="N36" s="106">
        <f>IF(MOD(N$2,12)=4,MAX(M36*(1+Assumptions!$G$14),Assumptions!$G12),'Monthly Revenue'!M36)</f>
        <v>250</v>
      </c>
      <c r="O36" s="106">
        <f>IF(MOD(O$2,12)=4,MAX(N36*(1+Assumptions!$G$14),Assumptions!$G12),'Monthly Revenue'!N36)</f>
        <v>250</v>
      </c>
      <c r="P36" s="106">
        <f>IF(MOD(P$2,12)=4,MAX(O36*(1+Assumptions!$G$14),Assumptions!$G12),'Monthly Revenue'!O36)</f>
        <v>250</v>
      </c>
      <c r="Q36" s="106">
        <f>IF(MOD(Q$2,12)=4,MAX(P36*(1+Assumptions!$G$14),Assumptions!$G12),'Monthly Revenue'!P36)</f>
        <v>250</v>
      </c>
      <c r="R36" s="106">
        <f>IF(MOD(R$2,12)=4,MAX(Q36*(1+Assumptions!$G$14),Assumptions!$G12),'Monthly Revenue'!Q36)</f>
        <v>250</v>
      </c>
      <c r="S36" s="106">
        <f>IF(MOD(S$2,12)=4,MAX(R36*(1+Assumptions!$G$14),Assumptions!$G12),'Monthly Revenue'!R36)</f>
        <v>250</v>
      </c>
      <c r="T36" s="106">
        <f>IF(MOD(T$2,12)=4,MAX(S36*(1+Assumptions!$G$14),Assumptions!$G12),'Monthly Revenue'!S36)</f>
        <v>262.5</v>
      </c>
      <c r="U36" s="106">
        <f>IF(MOD(U$2,12)=4,MAX(T36*(1+Assumptions!$G$14),Assumptions!$G12),'Monthly Revenue'!T36)</f>
        <v>262.5</v>
      </c>
      <c r="V36" s="106">
        <f>IF(MOD(V$2,12)=4,MAX(U36*(1+Assumptions!$G$14),Assumptions!$G12),'Monthly Revenue'!U36)</f>
        <v>262.5</v>
      </c>
      <c r="W36" s="106">
        <f>IF(MOD(W$2,12)=4,MAX(V36*(1+Assumptions!$G$14),Assumptions!$G12),'Monthly Revenue'!V36)</f>
        <v>262.5</v>
      </c>
      <c r="X36" s="106">
        <f>IF(MOD(X$2,12)=4,MAX(W36*(1+Assumptions!$G$14),Assumptions!$G12),'Monthly Revenue'!W36)</f>
        <v>262.5</v>
      </c>
      <c r="Y36" s="106">
        <f>IF(MOD(Y$2,12)=4,MAX(X36*(1+Assumptions!$G$14),Assumptions!$G12),'Monthly Revenue'!X36)</f>
        <v>262.5</v>
      </c>
      <c r="Z36" s="106">
        <f>IF(MOD(Z$2,12)=4,MAX(Y36*(1+Assumptions!$G$14),Assumptions!$G12),'Monthly Revenue'!Y36)</f>
        <v>262.5</v>
      </c>
      <c r="AA36" s="106">
        <f>IF(MOD(AA$2,12)=4,MAX(Z36*(1+Assumptions!$G$14),Assumptions!$G12),'Monthly Revenue'!Z36)</f>
        <v>262.5</v>
      </c>
      <c r="AB36" s="106">
        <f>IF(MOD(AB$2,12)=4,MAX(AA36*(1+Assumptions!$G$14),Assumptions!$G12),'Monthly Revenue'!AA36)</f>
        <v>262.5</v>
      </c>
      <c r="AC36" s="106">
        <f>IF(MOD(AC$2,12)=4,MAX(AB36*(1+Assumptions!$G$14),Assumptions!$G12),'Monthly Revenue'!AB36)</f>
        <v>262.5</v>
      </c>
      <c r="AD36" s="106">
        <f>IF(MOD(AD$2,12)=4,MAX(AC36*(1+Assumptions!$G$14),Assumptions!$G12),'Monthly Revenue'!AC36)</f>
        <v>262.5</v>
      </c>
      <c r="AE36" s="106">
        <f>IF(MOD(AE$2,12)=4,MAX(AD36*(1+Assumptions!$G$14),Assumptions!$G12),'Monthly Revenue'!AD36)</f>
        <v>262.5</v>
      </c>
      <c r="AF36" s="106">
        <f>IF(MOD(AF$2,12)=4,MAX(AE36*(1+Assumptions!$G$14),Assumptions!$G12),'Monthly Revenue'!AE36)</f>
        <v>275.625</v>
      </c>
      <c r="AG36" s="106">
        <f>IF(MOD(AG$2,12)=4,MAX(AF36*(1+Assumptions!$G$14),Assumptions!$G12),'Monthly Revenue'!AF36)</f>
        <v>275.625</v>
      </c>
      <c r="AH36" s="106">
        <f>IF(MOD(AH$2,12)=4,MAX(AG36*(1+Assumptions!$G$14),Assumptions!$G12),'Monthly Revenue'!AG36)</f>
        <v>275.625</v>
      </c>
      <c r="AI36" s="106">
        <f>IF(MOD(AI$2,12)=4,MAX(AH36*(1+Assumptions!$G$14),Assumptions!$G12),'Monthly Revenue'!AH36)</f>
        <v>275.625</v>
      </c>
      <c r="AJ36" s="106">
        <f>IF(MOD(AJ$2,12)=4,MAX(AI36*(1+Assumptions!$G$14),Assumptions!$G12),'Monthly Revenue'!AI36)</f>
        <v>275.625</v>
      </c>
      <c r="AK36" s="106">
        <f>IF(MOD(AK$2,12)=4,MAX(AJ36*(1+Assumptions!$G$14),Assumptions!$G12),'Monthly Revenue'!AJ36)</f>
        <v>275.625</v>
      </c>
      <c r="AL36" s="106">
        <f>IF(MOD(AL$2,12)=4,MAX(AK36*(1+Assumptions!$G$14),Assumptions!$G12),'Monthly Revenue'!AK36)</f>
        <v>275.625</v>
      </c>
      <c r="AM36" s="106">
        <f>IF(MOD(AM$2,12)=4,MAX(AL36*(1+Assumptions!$G$14),Assumptions!$G12),'Monthly Revenue'!AL36)</f>
        <v>275.625</v>
      </c>
      <c r="AN36" s="106">
        <f>IF(MOD(AN$2,12)=4,MAX(AM36*(1+Assumptions!$G$14),Assumptions!$G12),'Monthly Revenue'!AM36)</f>
        <v>275.625</v>
      </c>
    </row>
    <row r="37" spans="1:40" x14ac:dyDescent="0.25">
      <c r="A37" t="s">
        <v>116</v>
      </c>
      <c r="E37" s="106">
        <f>IF(MOD(E$2,12)=4,MAX(D37*(1+Assumptions!$G$14),Assumptions!$G13),'Monthly Revenue'!D37)</f>
        <v>0</v>
      </c>
      <c r="F37" s="106">
        <f>IF(MOD(F$2,12)=4,MAX(E37*(1+Assumptions!$G$14),Assumptions!$G13),'Monthly Revenue'!E37)</f>
        <v>0</v>
      </c>
      <c r="G37" s="106">
        <f>IF(MOD(G$2,12)=4,MAX(F37*(1+Assumptions!$G$14),Assumptions!$G13),'Monthly Revenue'!F37)</f>
        <v>0</v>
      </c>
      <c r="H37" s="106">
        <f>IF(MOD(H$2,12)=4,MAX(G37*(1+Assumptions!$G$14),Assumptions!$G13),'Monthly Revenue'!G37)</f>
        <v>1000</v>
      </c>
      <c r="I37" s="106">
        <f>IF(MOD(I$2,12)=4,MAX(H37*(1+Assumptions!$G$14),Assumptions!$G13),'Monthly Revenue'!H37)</f>
        <v>1000</v>
      </c>
      <c r="J37" s="106">
        <f>IF(MOD(J$2,12)=4,MAX(I37*(1+Assumptions!$G$14),Assumptions!$G13),'Monthly Revenue'!I37)</f>
        <v>1000</v>
      </c>
      <c r="K37" s="106">
        <f>IF(MOD(K$2,12)=4,MAX(J37*(1+Assumptions!$G$14),Assumptions!$G13),'Monthly Revenue'!J37)</f>
        <v>1000</v>
      </c>
      <c r="L37" s="106">
        <f>IF(MOD(L$2,12)=4,MAX(K37*(1+Assumptions!$G$14),Assumptions!$G13),'Monthly Revenue'!K37)</f>
        <v>1000</v>
      </c>
      <c r="M37" s="106">
        <f>IF(MOD(M$2,12)=4,MAX(L37*(1+Assumptions!$G$14),Assumptions!$G13),'Monthly Revenue'!L37)</f>
        <v>1000</v>
      </c>
      <c r="N37" s="106">
        <f>IF(MOD(N$2,12)=4,MAX(M37*(1+Assumptions!$G$14),Assumptions!$G13),'Monthly Revenue'!M37)</f>
        <v>1000</v>
      </c>
      <c r="O37" s="106">
        <f>IF(MOD(O$2,12)=4,MAX(N37*(1+Assumptions!$G$14),Assumptions!$G13),'Monthly Revenue'!N37)</f>
        <v>1000</v>
      </c>
      <c r="P37" s="106">
        <f>IF(MOD(P$2,12)=4,MAX(O37*(1+Assumptions!$G$14),Assumptions!$G13),'Monthly Revenue'!O37)</f>
        <v>1000</v>
      </c>
      <c r="Q37" s="106">
        <f>IF(MOD(Q$2,12)=4,MAX(P37*(1+Assumptions!$G$14),Assumptions!$G13),'Monthly Revenue'!P37)</f>
        <v>1000</v>
      </c>
      <c r="R37" s="106">
        <f>IF(MOD(R$2,12)=4,MAX(Q37*(1+Assumptions!$G$14),Assumptions!$G13),'Monthly Revenue'!Q37)</f>
        <v>1000</v>
      </c>
      <c r="S37" s="106">
        <f>IF(MOD(S$2,12)=4,MAX(R37*(1+Assumptions!$G$14),Assumptions!$G13),'Monthly Revenue'!R37)</f>
        <v>1000</v>
      </c>
      <c r="T37" s="106">
        <f>IF(MOD(T$2,12)=4,MAX(S37*(1+Assumptions!$G$14),Assumptions!$G13),'Monthly Revenue'!S37)</f>
        <v>1050</v>
      </c>
      <c r="U37" s="106">
        <f>IF(MOD(U$2,12)=4,MAX(T37*(1+Assumptions!$G$14),Assumptions!$G13),'Monthly Revenue'!T37)</f>
        <v>1050</v>
      </c>
      <c r="V37" s="106">
        <f>IF(MOD(V$2,12)=4,MAX(U37*(1+Assumptions!$G$14),Assumptions!$G13),'Monthly Revenue'!U37)</f>
        <v>1050</v>
      </c>
      <c r="W37" s="106">
        <f>IF(MOD(W$2,12)=4,MAX(V37*(1+Assumptions!$G$14),Assumptions!$G13),'Monthly Revenue'!V37)</f>
        <v>1050</v>
      </c>
      <c r="X37" s="106">
        <f>IF(MOD(X$2,12)=4,MAX(W37*(1+Assumptions!$G$14),Assumptions!$G13),'Monthly Revenue'!W37)</f>
        <v>1050</v>
      </c>
      <c r="Y37" s="106">
        <f>IF(MOD(Y$2,12)=4,MAX(X37*(1+Assumptions!$G$14),Assumptions!$G13),'Monthly Revenue'!X37)</f>
        <v>1050</v>
      </c>
      <c r="Z37" s="106">
        <f>IF(MOD(Z$2,12)=4,MAX(Y37*(1+Assumptions!$G$14),Assumptions!$G13),'Monthly Revenue'!Y37)</f>
        <v>1050</v>
      </c>
      <c r="AA37" s="106">
        <f>IF(MOD(AA$2,12)=4,MAX(Z37*(1+Assumptions!$G$14),Assumptions!$G13),'Monthly Revenue'!Z37)</f>
        <v>1050</v>
      </c>
      <c r="AB37" s="106">
        <f>IF(MOD(AB$2,12)=4,MAX(AA37*(1+Assumptions!$G$14),Assumptions!$G13),'Monthly Revenue'!AA37)</f>
        <v>1050</v>
      </c>
      <c r="AC37" s="106">
        <f>IF(MOD(AC$2,12)=4,MAX(AB37*(1+Assumptions!$G$14),Assumptions!$G13),'Monthly Revenue'!AB37)</f>
        <v>1050</v>
      </c>
      <c r="AD37" s="106">
        <f>IF(MOD(AD$2,12)=4,MAX(AC37*(1+Assumptions!$G$14),Assumptions!$G13),'Monthly Revenue'!AC37)</f>
        <v>1050</v>
      </c>
      <c r="AE37" s="106">
        <f>IF(MOD(AE$2,12)=4,MAX(AD37*(1+Assumptions!$G$14),Assumptions!$G13),'Monthly Revenue'!AD37)</f>
        <v>1050</v>
      </c>
      <c r="AF37" s="106">
        <f>IF(MOD(AF$2,12)=4,MAX(AE37*(1+Assumptions!$G$14),Assumptions!$G13),'Monthly Revenue'!AE37)</f>
        <v>1102.5</v>
      </c>
      <c r="AG37" s="106">
        <f>IF(MOD(AG$2,12)=4,MAX(AF37*(1+Assumptions!$G$14),Assumptions!$G13),'Monthly Revenue'!AF37)</f>
        <v>1102.5</v>
      </c>
      <c r="AH37" s="106">
        <f>IF(MOD(AH$2,12)=4,MAX(AG37*(1+Assumptions!$G$14),Assumptions!$G13),'Monthly Revenue'!AG37)</f>
        <v>1102.5</v>
      </c>
      <c r="AI37" s="106">
        <f>IF(MOD(AI$2,12)=4,MAX(AH37*(1+Assumptions!$G$14),Assumptions!$G13),'Monthly Revenue'!AH37)</f>
        <v>1102.5</v>
      </c>
      <c r="AJ37" s="106">
        <f>IF(MOD(AJ$2,12)=4,MAX(AI37*(1+Assumptions!$G$14),Assumptions!$G13),'Monthly Revenue'!AI37)</f>
        <v>1102.5</v>
      </c>
      <c r="AK37" s="106">
        <f>IF(MOD(AK$2,12)=4,MAX(AJ37*(1+Assumptions!$G$14),Assumptions!$G13),'Monthly Revenue'!AJ37)</f>
        <v>1102.5</v>
      </c>
      <c r="AL37" s="106">
        <f>IF(MOD(AL$2,12)=4,MAX(AK37*(1+Assumptions!$G$14),Assumptions!$G13),'Monthly Revenue'!AK37)</f>
        <v>1102.5</v>
      </c>
      <c r="AM37" s="106">
        <f>IF(MOD(AM$2,12)=4,MAX(AL37*(1+Assumptions!$G$14),Assumptions!$G13),'Monthly Revenue'!AL37)</f>
        <v>1102.5</v>
      </c>
      <c r="AN37" s="106">
        <f>IF(MOD(AN$2,12)=4,MAX(AM37*(1+Assumptions!$G$14),Assumptions!$G13),'Monthly Revenue'!AM37)</f>
        <v>1102.5</v>
      </c>
    </row>
    <row r="38" spans="1:40" x14ac:dyDescent="0.25">
      <c r="A38" s="103" t="s">
        <v>117</v>
      </c>
      <c r="B38" s="105"/>
      <c r="C38" s="105"/>
      <c r="D38" s="105"/>
      <c r="E38" s="107">
        <f>SUM(E35:E37)</f>
        <v>0</v>
      </c>
      <c r="F38" s="107">
        <f t="shared" ref="F38:AN38" si="38">SUM(F35:F37)</f>
        <v>0</v>
      </c>
      <c r="G38" s="107">
        <f t="shared" si="38"/>
        <v>0</v>
      </c>
      <c r="H38" s="107">
        <f t="shared" si="38"/>
        <v>1900</v>
      </c>
      <c r="I38" s="107">
        <f t="shared" si="38"/>
        <v>1900</v>
      </c>
      <c r="J38" s="107">
        <f t="shared" si="38"/>
        <v>1900</v>
      </c>
      <c r="K38" s="107">
        <f t="shared" si="38"/>
        <v>1900</v>
      </c>
      <c r="L38" s="107">
        <f t="shared" si="38"/>
        <v>1900</v>
      </c>
      <c r="M38" s="107">
        <f t="shared" si="38"/>
        <v>1900</v>
      </c>
      <c r="N38" s="107">
        <f t="shared" si="38"/>
        <v>1900</v>
      </c>
      <c r="O38" s="107">
        <f t="shared" si="38"/>
        <v>1900</v>
      </c>
      <c r="P38" s="107">
        <f t="shared" si="38"/>
        <v>1900</v>
      </c>
      <c r="Q38" s="107">
        <f t="shared" si="38"/>
        <v>1900</v>
      </c>
      <c r="R38" s="107">
        <f t="shared" si="38"/>
        <v>1900</v>
      </c>
      <c r="S38" s="107">
        <f t="shared" si="38"/>
        <v>1900</v>
      </c>
      <c r="T38" s="107">
        <f t="shared" si="38"/>
        <v>1995</v>
      </c>
      <c r="U38" s="107">
        <f t="shared" si="38"/>
        <v>1995</v>
      </c>
      <c r="V38" s="107">
        <f t="shared" si="38"/>
        <v>1995</v>
      </c>
      <c r="W38" s="107">
        <f t="shared" si="38"/>
        <v>1995</v>
      </c>
      <c r="X38" s="107">
        <f t="shared" si="38"/>
        <v>1995</v>
      </c>
      <c r="Y38" s="107">
        <f t="shared" si="38"/>
        <v>1995</v>
      </c>
      <c r="Z38" s="107">
        <f t="shared" si="38"/>
        <v>1995</v>
      </c>
      <c r="AA38" s="107">
        <f t="shared" si="38"/>
        <v>1995</v>
      </c>
      <c r="AB38" s="107">
        <f t="shared" si="38"/>
        <v>1995</v>
      </c>
      <c r="AC38" s="107">
        <f t="shared" si="38"/>
        <v>1995</v>
      </c>
      <c r="AD38" s="107">
        <f t="shared" si="38"/>
        <v>1995</v>
      </c>
      <c r="AE38" s="107">
        <f t="shared" si="38"/>
        <v>1995</v>
      </c>
      <c r="AF38" s="107">
        <f t="shared" si="38"/>
        <v>2094.75</v>
      </c>
      <c r="AG38" s="107">
        <f t="shared" si="38"/>
        <v>2094.75</v>
      </c>
      <c r="AH38" s="107">
        <f t="shared" si="38"/>
        <v>2094.75</v>
      </c>
      <c r="AI38" s="107">
        <f t="shared" si="38"/>
        <v>2094.75</v>
      </c>
      <c r="AJ38" s="107">
        <f t="shared" si="38"/>
        <v>2094.75</v>
      </c>
      <c r="AK38" s="107">
        <f t="shared" si="38"/>
        <v>2094.75</v>
      </c>
      <c r="AL38" s="107">
        <f t="shared" si="38"/>
        <v>2094.75</v>
      </c>
      <c r="AM38" s="107">
        <f t="shared" si="38"/>
        <v>2094.75</v>
      </c>
      <c r="AN38" s="107">
        <f t="shared" si="38"/>
        <v>2094.75</v>
      </c>
    </row>
    <row r="40" spans="1:40" x14ac:dyDescent="0.25">
      <c r="A40" t="s">
        <v>118</v>
      </c>
    </row>
    <row r="42" spans="1:40" x14ac:dyDescent="0.25">
      <c r="A42" s="102" t="s">
        <v>6</v>
      </c>
    </row>
    <row r="44" spans="1:40" x14ac:dyDescent="0.25">
      <c r="A44" s="9" t="s">
        <v>109</v>
      </c>
    </row>
    <row r="45" spans="1:40" x14ac:dyDescent="0.25">
      <c r="A45" t="s">
        <v>114</v>
      </c>
      <c r="E45" s="106">
        <f t="shared" ref="E45:AN45" si="39">E19*E$10*E$5/Den</f>
        <v>0</v>
      </c>
      <c r="F45" s="106">
        <f t="shared" si="39"/>
        <v>0</v>
      </c>
      <c r="G45" s="106">
        <f t="shared" si="39"/>
        <v>0</v>
      </c>
      <c r="H45" s="106">
        <f t="shared" si="39"/>
        <v>1.38</v>
      </c>
      <c r="I45" s="106">
        <f t="shared" si="39"/>
        <v>1.2851999999999999</v>
      </c>
      <c r="J45" s="106">
        <f t="shared" si="39"/>
        <v>1.3733279999999999</v>
      </c>
      <c r="K45" s="106">
        <f t="shared" si="39"/>
        <v>1.40079456</v>
      </c>
      <c r="L45" s="106">
        <f t="shared" si="39"/>
        <v>1.3638645216</v>
      </c>
      <c r="M45" s="106">
        <f t="shared" si="39"/>
        <v>1.5236315084160004</v>
      </c>
      <c r="N45" s="106">
        <f t="shared" si="39"/>
        <v>1.4189646482726401</v>
      </c>
      <c r="O45" s="106">
        <f t="shared" si="39"/>
        <v>1.3784228011791362</v>
      </c>
      <c r="P45" s="106">
        <f t="shared" si="39"/>
        <v>1.6168899457831265</v>
      </c>
      <c r="Q45" s="106">
        <f t="shared" si="39"/>
        <v>1.5775221905814505</v>
      </c>
      <c r="R45" s="106">
        <f t="shared" si="39"/>
        <v>1.5359329691933938</v>
      </c>
      <c r="S45" s="106">
        <f t="shared" si="39"/>
        <v>1.6412540870809413</v>
      </c>
      <c r="T45" s="106">
        <f t="shared" si="39"/>
        <v>1.7577831272636877</v>
      </c>
      <c r="U45" s="106">
        <f t="shared" si="39"/>
        <v>1.7929387898089615</v>
      </c>
      <c r="V45" s="106">
        <f t="shared" si="39"/>
        <v>1.8287975656051407</v>
      </c>
      <c r="W45" s="106">
        <f t="shared" si="39"/>
        <v>1.7805838116028236</v>
      </c>
      <c r="X45" s="106">
        <f t="shared" si="39"/>
        <v>1.902680987255589</v>
      </c>
      <c r="Y45" s="106">
        <f t="shared" si="39"/>
        <v>2.0289498164098236</v>
      </c>
      <c r="Z45" s="106">
        <f t="shared" si="39"/>
        <v>1.8895697855434095</v>
      </c>
      <c r="AA45" s="106">
        <f t="shared" si="39"/>
        <v>1.8355820773850264</v>
      </c>
      <c r="AB45" s="106">
        <f t="shared" si="39"/>
        <v>2.1531377767726361</v>
      </c>
      <c r="AC45" s="106">
        <f t="shared" si="39"/>
        <v>2.0052265729769507</v>
      </c>
      <c r="AD45" s="106">
        <f t="shared" si="39"/>
        <v>2.14272782369537</v>
      </c>
      <c r="AE45" s="106">
        <f t="shared" si="39"/>
        <v>2.1855823801692775</v>
      </c>
      <c r="AF45" s="106">
        <f t="shared" si="39"/>
        <v>2.2343606051085101</v>
      </c>
      <c r="AG45" s="106">
        <f t="shared" si="39"/>
        <v>2.4960999902783638</v>
      </c>
      <c r="AH45" s="106">
        <f t="shared" si="39"/>
        <v>2.4353253818194127</v>
      </c>
      <c r="AI45" s="106">
        <f t="shared" si="39"/>
        <v>2.3711213490259917</v>
      </c>
      <c r="AJ45" s="106">
        <f t="shared" si="39"/>
        <v>2.5337125272449175</v>
      </c>
      <c r="AK45" s="106">
        <f t="shared" si="39"/>
        <v>2.5843867777898155</v>
      </c>
      <c r="AL45" s="106">
        <f t="shared" si="39"/>
        <v>2.636074513345612</v>
      </c>
      <c r="AM45" s="106">
        <f t="shared" si="39"/>
        <v>2.4443600032841131</v>
      </c>
      <c r="AN45" s="106">
        <f t="shared" si="39"/>
        <v>2.8672342838522646</v>
      </c>
    </row>
    <row r="46" spans="1:40" x14ac:dyDescent="0.25">
      <c r="A46" t="s">
        <v>115</v>
      </c>
      <c r="E46" s="106">
        <f t="shared" ref="E46:AN46" si="40">E20*E$10*E$5/Den</f>
        <v>0</v>
      </c>
      <c r="F46" s="106">
        <f t="shared" si="40"/>
        <v>0</v>
      </c>
      <c r="G46" s="106">
        <f t="shared" si="40"/>
        <v>0</v>
      </c>
      <c r="H46" s="106">
        <f t="shared" si="40"/>
        <v>0.92</v>
      </c>
      <c r="I46" s="106">
        <f t="shared" si="40"/>
        <v>0.8567999999999999</v>
      </c>
      <c r="J46" s="106">
        <f t="shared" si="40"/>
        <v>0.91555200000000014</v>
      </c>
      <c r="K46" s="106">
        <f t="shared" si="40"/>
        <v>0.93386304000000009</v>
      </c>
      <c r="L46" s="106">
        <f t="shared" si="40"/>
        <v>0.9092430144000001</v>
      </c>
      <c r="M46" s="106">
        <f t="shared" si="40"/>
        <v>1.015754338944</v>
      </c>
      <c r="N46" s="106">
        <f t="shared" si="40"/>
        <v>0.9459764321817602</v>
      </c>
      <c r="O46" s="106">
        <f t="shared" si="40"/>
        <v>0.91894853411942401</v>
      </c>
      <c r="P46" s="106">
        <f t="shared" si="40"/>
        <v>1.0779266305220845</v>
      </c>
      <c r="Q46" s="106">
        <f t="shared" si="40"/>
        <v>1.0516814603876337</v>
      </c>
      <c r="R46" s="106">
        <f t="shared" si="40"/>
        <v>1.023955312795596</v>
      </c>
      <c r="S46" s="106">
        <f t="shared" si="40"/>
        <v>1.0941693913872941</v>
      </c>
      <c r="T46" s="106">
        <f t="shared" si="40"/>
        <v>1.1718554181757921</v>
      </c>
      <c r="U46" s="106">
        <f t="shared" si="40"/>
        <v>1.1952925265393077</v>
      </c>
      <c r="V46" s="106">
        <f t="shared" si="40"/>
        <v>1.219198377070094</v>
      </c>
      <c r="W46" s="106">
        <f t="shared" si="40"/>
        <v>1.1870558744018824</v>
      </c>
      <c r="X46" s="106">
        <f t="shared" si="40"/>
        <v>1.2684539915037258</v>
      </c>
      <c r="Y46" s="106">
        <f t="shared" si="40"/>
        <v>1.3526332109398822</v>
      </c>
      <c r="Z46" s="106">
        <f t="shared" si="40"/>
        <v>1.2597131903622729</v>
      </c>
      <c r="AA46" s="106">
        <f t="shared" si="40"/>
        <v>1.2237213849233508</v>
      </c>
      <c r="AB46" s="106">
        <f t="shared" si="40"/>
        <v>1.4354251845150903</v>
      </c>
      <c r="AC46" s="106">
        <f t="shared" si="40"/>
        <v>1.336817715317967</v>
      </c>
      <c r="AD46" s="106">
        <f t="shared" si="40"/>
        <v>1.4284852157969132</v>
      </c>
      <c r="AE46" s="106">
        <f t="shared" si="40"/>
        <v>1.4570549201128515</v>
      </c>
      <c r="AF46" s="106">
        <f t="shared" si="40"/>
        <v>1.4895737367390067</v>
      </c>
      <c r="AG46" s="106">
        <f t="shared" si="40"/>
        <v>1.6640666601855758</v>
      </c>
      <c r="AH46" s="106">
        <f t="shared" si="40"/>
        <v>1.6235502545462752</v>
      </c>
      <c r="AI46" s="106">
        <f t="shared" si="40"/>
        <v>1.580747566017328</v>
      </c>
      <c r="AJ46" s="106">
        <f t="shared" si="40"/>
        <v>1.6891416848299448</v>
      </c>
      <c r="AK46" s="106">
        <f t="shared" si="40"/>
        <v>1.7229245185265436</v>
      </c>
      <c r="AL46" s="106">
        <f t="shared" si="40"/>
        <v>1.7573830088970745</v>
      </c>
      <c r="AM46" s="106">
        <f t="shared" si="40"/>
        <v>1.6295733355227418</v>
      </c>
      <c r="AN46" s="106">
        <f t="shared" si="40"/>
        <v>1.9114895225681767</v>
      </c>
    </row>
    <row r="47" spans="1:40" x14ac:dyDescent="0.25">
      <c r="A47" t="s">
        <v>116</v>
      </c>
      <c r="E47" s="106">
        <f t="shared" ref="E47:AN47" si="41">E21*E$10*E$5/Den</f>
        <v>0</v>
      </c>
      <c r="F47" s="106">
        <f t="shared" si="41"/>
        <v>0</v>
      </c>
      <c r="G47" s="106">
        <f t="shared" si="41"/>
        <v>0</v>
      </c>
      <c r="H47" s="106">
        <f t="shared" si="41"/>
        <v>4.5999999999999996</v>
      </c>
      <c r="I47" s="106">
        <f t="shared" si="41"/>
        <v>4.2839999999999998</v>
      </c>
      <c r="J47" s="106">
        <f t="shared" si="41"/>
        <v>4.5777599999999996</v>
      </c>
      <c r="K47" s="106">
        <f t="shared" si="41"/>
        <v>4.6693151999999998</v>
      </c>
      <c r="L47" s="106">
        <f t="shared" si="41"/>
        <v>4.5462150720000007</v>
      </c>
      <c r="M47" s="106">
        <f t="shared" si="41"/>
        <v>5.0787716947200003</v>
      </c>
      <c r="N47" s="106">
        <f t="shared" si="41"/>
        <v>4.7298821609088009</v>
      </c>
      <c r="O47" s="106">
        <f t="shared" si="41"/>
        <v>4.5947426705971202</v>
      </c>
      <c r="P47" s="106">
        <f t="shared" si="41"/>
        <v>5.389633152610422</v>
      </c>
      <c r="Q47" s="106">
        <f t="shared" si="41"/>
        <v>5.2584073019381679</v>
      </c>
      <c r="R47" s="106">
        <f t="shared" si="41"/>
        <v>5.1197765639779798</v>
      </c>
      <c r="S47" s="106">
        <f t="shared" si="41"/>
        <v>5.4708469569364704</v>
      </c>
      <c r="T47" s="106">
        <f t="shared" si="41"/>
        <v>5.8592770908789609</v>
      </c>
      <c r="U47" s="106">
        <f t="shared" si="41"/>
        <v>5.9764626326965393</v>
      </c>
      <c r="V47" s="106">
        <f t="shared" si="41"/>
        <v>6.09599188535047</v>
      </c>
      <c r="W47" s="106">
        <f t="shared" si="41"/>
        <v>5.935279372009413</v>
      </c>
      <c r="X47" s="106">
        <f t="shared" si="41"/>
        <v>6.3422699575186288</v>
      </c>
      <c r="Y47" s="106">
        <f t="shared" si="41"/>
        <v>6.7631660546994112</v>
      </c>
      <c r="Z47" s="106">
        <f t="shared" si="41"/>
        <v>6.2985659518113648</v>
      </c>
      <c r="AA47" s="106">
        <f t="shared" si="41"/>
        <v>6.1186069246167536</v>
      </c>
      <c r="AB47" s="106">
        <f t="shared" si="41"/>
        <v>7.1771259225754536</v>
      </c>
      <c r="AC47" s="106">
        <f t="shared" si="41"/>
        <v>6.6840885765898346</v>
      </c>
      <c r="AD47" s="106">
        <f t="shared" si="41"/>
        <v>7.1424260789845659</v>
      </c>
      <c r="AE47" s="106">
        <f t="shared" si="41"/>
        <v>7.2852746005642581</v>
      </c>
      <c r="AF47" s="106">
        <f t="shared" si="41"/>
        <v>7.4478686836950345</v>
      </c>
      <c r="AG47" s="106">
        <f t="shared" si="41"/>
        <v>8.3203333009278797</v>
      </c>
      <c r="AH47" s="106">
        <f t="shared" si="41"/>
        <v>8.1177512727313772</v>
      </c>
      <c r="AI47" s="106">
        <f t="shared" si="41"/>
        <v>7.9037378300866399</v>
      </c>
      <c r="AJ47" s="106">
        <f t="shared" si="41"/>
        <v>8.4457084241497249</v>
      </c>
      <c r="AK47" s="106">
        <f t="shared" si="41"/>
        <v>8.6146225926327187</v>
      </c>
      <c r="AL47" s="106">
        <f t="shared" si="41"/>
        <v>8.7869150444853723</v>
      </c>
      <c r="AM47" s="106">
        <f t="shared" si="41"/>
        <v>8.1478666776137096</v>
      </c>
      <c r="AN47" s="106">
        <f t="shared" si="41"/>
        <v>9.5574476128408818</v>
      </c>
    </row>
    <row r="48" spans="1:40" x14ac:dyDescent="0.25">
      <c r="A48" s="103" t="s">
        <v>117</v>
      </c>
      <c r="B48" s="104"/>
      <c r="C48" s="104"/>
      <c r="D48" s="104"/>
      <c r="E48" s="107">
        <f>SUM(E45:E47)</f>
        <v>0</v>
      </c>
      <c r="F48" s="107">
        <f t="shared" ref="F48:AN48" si="42">SUM(F45:F47)</f>
        <v>0</v>
      </c>
      <c r="G48" s="107">
        <f t="shared" si="42"/>
        <v>0</v>
      </c>
      <c r="H48" s="107">
        <f t="shared" si="42"/>
        <v>6.8999999999999995</v>
      </c>
      <c r="I48" s="107">
        <f t="shared" si="42"/>
        <v>6.4260000000000002</v>
      </c>
      <c r="J48" s="107">
        <f t="shared" si="42"/>
        <v>6.8666399999999994</v>
      </c>
      <c r="K48" s="107">
        <f t="shared" si="42"/>
        <v>7.0039727999999997</v>
      </c>
      <c r="L48" s="107">
        <f t="shared" si="42"/>
        <v>6.8193226080000011</v>
      </c>
      <c r="M48" s="107">
        <f t="shared" si="42"/>
        <v>7.6181575420800005</v>
      </c>
      <c r="N48" s="107">
        <f t="shared" si="42"/>
        <v>7.0948232413632013</v>
      </c>
      <c r="O48" s="107">
        <f t="shared" si="42"/>
        <v>6.8921140058956798</v>
      </c>
      <c r="P48" s="107">
        <f t="shared" si="42"/>
        <v>8.084449728915633</v>
      </c>
      <c r="Q48" s="107">
        <f t="shared" si="42"/>
        <v>7.8876109529072522</v>
      </c>
      <c r="R48" s="107">
        <f t="shared" si="42"/>
        <v>7.6796648459669701</v>
      </c>
      <c r="S48" s="107">
        <f t="shared" si="42"/>
        <v>8.206270435404706</v>
      </c>
      <c r="T48" s="107">
        <f t="shared" si="42"/>
        <v>8.7889156363184409</v>
      </c>
      <c r="U48" s="107">
        <f t="shared" si="42"/>
        <v>8.9646939490448077</v>
      </c>
      <c r="V48" s="107">
        <f t="shared" si="42"/>
        <v>9.1439878280257041</v>
      </c>
      <c r="W48" s="107">
        <f t="shared" si="42"/>
        <v>8.9029190580141186</v>
      </c>
      <c r="X48" s="107">
        <f t="shared" si="42"/>
        <v>9.5134049362779436</v>
      </c>
      <c r="Y48" s="107">
        <f t="shared" si="42"/>
        <v>10.144749082049117</v>
      </c>
      <c r="Z48" s="107">
        <f t="shared" si="42"/>
        <v>9.4478489277170468</v>
      </c>
      <c r="AA48" s="107">
        <f t="shared" si="42"/>
        <v>9.1779103869251308</v>
      </c>
      <c r="AB48" s="107">
        <f t="shared" si="42"/>
        <v>10.765688883863181</v>
      </c>
      <c r="AC48" s="107">
        <f t="shared" si="42"/>
        <v>10.026132864884753</v>
      </c>
      <c r="AD48" s="107">
        <f t="shared" si="42"/>
        <v>10.713639118476848</v>
      </c>
      <c r="AE48" s="107">
        <f t="shared" si="42"/>
        <v>10.927911900846388</v>
      </c>
      <c r="AF48" s="107">
        <f t="shared" si="42"/>
        <v>11.171803025542552</v>
      </c>
      <c r="AG48" s="107">
        <f t="shared" si="42"/>
        <v>12.48049995139182</v>
      </c>
      <c r="AH48" s="107">
        <f t="shared" si="42"/>
        <v>12.176626909097065</v>
      </c>
      <c r="AI48" s="107">
        <f t="shared" si="42"/>
        <v>11.855606745129959</v>
      </c>
      <c r="AJ48" s="107">
        <f t="shared" si="42"/>
        <v>12.668562636224587</v>
      </c>
      <c r="AK48" s="107">
        <f t="shared" si="42"/>
        <v>12.921933888949077</v>
      </c>
      <c r="AL48" s="107">
        <f t="shared" si="42"/>
        <v>13.180372566728058</v>
      </c>
      <c r="AM48" s="107">
        <f t="shared" si="42"/>
        <v>12.221800016420564</v>
      </c>
      <c r="AN48" s="107">
        <f t="shared" si="42"/>
        <v>14.336171419261323</v>
      </c>
    </row>
    <row r="49" spans="1:40" x14ac:dyDescent="0.25">
      <c r="A49" s="99"/>
    </row>
    <row r="50" spans="1:40" x14ac:dyDescent="0.25">
      <c r="A50" s="9" t="s">
        <v>110</v>
      </c>
    </row>
    <row r="51" spans="1:40" x14ac:dyDescent="0.25">
      <c r="A51" t="s">
        <v>114</v>
      </c>
      <c r="E51" s="106">
        <f t="shared" ref="E51:AN51" si="43">E24*E$11*E$5/Den</f>
        <v>0</v>
      </c>
      <c r="F51" s="106">
        <f t="shared" si="43"/>
        <v>0</v>
      </c>
      <c r="G51" s="106">
        <f t="shared" si="43"/>
        <v>0</v>
      </c>
      <c r="H51" s="106">
        <f t="shared" si="43"/>
        <v>2.3919999999999999</v>
      </c>
      <c r="I51" s="106">
        <f t="shared" si="43"/>
        <v>2.2276799999999999</v>
      </c>
      <c r="J51" s="106">
        <f t="shared" si="43"/>
        <v>2.3804352</v>
      </c>
      <c r="K51" s="106">
        <f t="shared" si="43"/>
        <v>2.4280439039999999</v>
      </c>
      <c r="L51" s="106">
        <f t="shared" si="43"/>
        <v>2.3640318374400002</v>
      </c>
      <c r="M51" s="106">
        <f t="shared" si="43"/>
        <v>2.6409612812544006</v>
      </c>
      <c r="N51" s="106">
        <f t="shared" si="43"/>
        <v>2.4595387236725759</v>
      </c>
      <c r="O51" s="106">
        <f t="shared" si="43"/>
        <v>2.3892661887105024</v>
      </c>
      <c r="P51" s="106">
        <f t="shared" si="43"/>
        <v>2.8026092393574196</v>
      </c>
      <c r="Q51" s="106">
        <f t="shared" si="43"/>
        <v>2.7343717970078472</v>
      </c>
      <c r="R51" s="106">
        <f t="shared" si="43"/>
        <v>2.6622838132685498</v>
      </c>
      <c r="S51" s="106">
        <f t="shared" si="43"/>
        <v>2.8448404176069646</v>
      </c>
      <c r="T51" s="106">
        <f t="shared" si="43"/>
        <v>3.0468240872570589</v>
      </c>
      <c r="U51" s="106">
        <f t="shared" si="43"/>
        <v>3.1077605690021999</v>
      </c>
      <c r="V51" s="106">
        <f t="shared" si="43"/>
        <v>3.1699157803822442</v>
      </c>
      <c r="W51" s="106">
        <f t="shared" si="43"/>
        <v>3.086345273444894</v>
      </c>
      <c r="X51" s="106">
        <f t="shared" si="43"/>
        <v>3.2979803779096866</v>
      </c>
      <c r="Y51" s="106">
        <f t="shared" si="43"/>
        <v>3.5168463484436931</v>
      </c>
      <c r="Z51" s="106">
        <f t="shared" si="43"/>
        <v>3.275254294941909</v>
      </c>
      <c r="AA51" s="106">
        <f t="shared" si="43"/>
        <v>3.1816756008007121</v>
      </c>
      <c r="AB51" s="106">
        <f t="shared" si="43"/>
        <v>3.7321054797392352</v>
      </c>
      <c r="AC51" s="106">
        <f t="shared" si="43"/>
        <v>3.4757260598267141</v>
      </c>
      <c r="AD51" s="106">
        <f t="shared" si="43"/>
        <v>3.7140615610719738</v>
      </c>
      <c r="AE51" s="106">
        <f t="shared" si="43"/>
        <v>3.7883427922934141</v>
      </c>
      <c r="AF51" s="106">
        <f t="shared" si="43"/>
        <v>3.8728917155214164</v>
      </c>
      <c r="AG51" s="106">
        <f t="shared" si="43"/>
        <v>4.3265733164824969</v>
      </c>
      <c r="AH51" s="106">
        <f t="shared" si="43"/>
        <v>4.2212306618203144</v>
      </c>
      <c r="AI51" s="106">
        <f t="shared" si="43"/>
        <v>4.1099436716450519</v>
      </c>
      <c r="AJ51" s="106">
        <f t="shared" si="43"/>
        <v>4.3917683805578545</v>
      </c>
      <c r="AK51" s="106">
        <f t="shared" si="43"/>
        <v>4.479603748169013</v>
      </c>
      <c r="AL51" s="106">
        <f t="shared" si="43"/>
        <v>4.569195823132393</v>
      </c>
      <c r="AM51" s="106">
        <f t="shared" si="43"/>
        <v>4.2368906723591282</v>
      </c>
      <c r="AN51" s="106">
        <f t="shared" si="43"/>
        <v>4.9698727586772566</v>
      </c>
    </row>
    <row r="52" spans="1:40" x14ac:dyDescent="0.25">
      <c r="A52" t="s">
        <v>115</v>
      </c>
      <c r="E52" s="106">
        <f t="shared" ref="E52:AN52" si="44">E25*E$11*E$5/Den</f>
        <v>0</v>
      </c>
      <c r="F52" s="106">
        <f t="shared" si="44"/>
        <v>0</v>
      </c>
      <c r="G52" s="106">
        <f t="shared" si="44"/>
        <v>0</v>
      </c>
      <c r="H52" s="106">
        <f t="shared" si="44"/>
        <v>1.196</v>
      </c>
      <c r="I52" s="106">
        <f t="shared" si="44"/>
        <v>1.1138399999999999</v>
      </c>
      <c r="J52" s="106">
        <f t="shared" si="44"/>
        <v>1.1902176</v>
      </c>
      <c r="K52" s="106">
        <f t="shared" si="44"/>
        <v>1.214021952</v>
      </c>
      <c r="L52" s="106">
        <f t="shared" si="44"/>
        <v>1.1820159187200001</v>
      </c>
      <c r="M52" s="106">
        <f t="shared" si="44"/>
        <v>1.3204806406272003</v>
      </c>
      <c r="N52" s="106">
        <f t="shared" si="44"/>
        <v>1.2297693618362879</v>
      </c>
      <c r="O52" s="106">
        <f t="shared" si="44"/>
        <v>1.1946330943552512</v>
      </c>
      <c r="P52" s="106">
        <f t="shared" si="44"/>
        <v>1.4013046196787098</v>
      </c>
      <c r="Q52" s="106">
        <f t="shared" si="44"/>
        <v>1.3671858985039236</v>
      </c>
      <c r="R52" s="106">
        <f t="shared" si="44"/>
        <v>1.3311419066342749</v>
      </c>
      <c r="S52" s="106">
        <f t="shared" si="44"/>
        <v>1.4224202088034823</v>
      </c>
      <c r="T52" s="106">
        <f t="shared" si="44"/>
        <v>1.5234120436285294</v>
      </c>
      <c r="U52" s="106">
        <f t="shared" si="44"/>
        <v>1.5538802845010999</v>
      </c>
      <c r="V52" s="106">
        <f t="shared" si="44"/>
        <v>1.5849578901911221</v>
      </c>
      <c r="W52" s="106">
        <f t="shared" si="44"/>
        <v>1.543172636722447</v>
      </c>
      <c r="X52" s="106">
        <f t="shared" si="44"/>
        <v>1.6489901889548433</v>
      </c>
      <c r="Y52" s="106">
        <f t="shared" si="44"/>
        <v>1.7584231742218466</v>
      </c>
      <c r="Z52" s="106">
        <f t="shared" si="44"/>
        <v>1.6376271474709545</v>
      </c>
      <c r="AA52" s="106">
        <f t="shared" si="44"/>
        <v>1.5908378004003561</v>
      </c>
      <c r="AB52" s="106">
        <f t="shared" si="44"/>
        <v>1.8660527398696176</v>
      </c>
      <c r="AC52" s="106">
        <f t="shared" si="44"/>
        <v>1.7378630299133571</v>
      </c>
      <c r="AD52" s="106">
        <f t="shared" si="44"/>
        <v>1.8570307805359869</v>
      </c>
      <c r="AE52" s="106">
        <f t="shared" si="44"/>
        <v>1.894171396146707</v>
      </c>
      <c r="AF52" s="106">
        <f t="shared" si="44"/>
        <v>1.9364458577607082</v>
      </c>
      <c r="AG52" s="106">
        <f t="shared" si="44"/>
        <v>2.1632866582412484</v>
      </c>
      <c r="AH52" s="106">
        <f t="shared" si="44"/>
        <v>2.1106153309101572</v>
      </c>
      <c r="AI52" s="106">
        <f t="shared" si="44"/>
        <v>2.054971835822526</v>
      </c>
      <c r="AJ52" s="106">
        <f t="shared" si="44"/>
        <v>2.1958841902789272</v>
      </c>
      <c r="AK52" s="106">
        <f t="shared" si="44"/>
        <v>2.2398018740845065</v>
      </c>
      <c r="AL52" s="106">
        <f t="shared" si="44"/>
        <v>2.2845979115661965</v>
      </c>
      <c r="AM52" s="106">
        <f t="shared" si="44"/>
        <v>2.1184453361795641</v>
      </c>
      <c r="AN52" s="106">
        <f t="shared" si="44"/>
        <v>2.4849363793386283</v>
      </c>
    </row>
    <row r="53" spans="1:40" x14ac:dyDescent="0.25">
      <c r="A53" t="s">
        <v>116</v>
      </c>
      <c r="E53" s="106">
        <f t="shared" ref="E53:AN53" si="45">E26*E$11*E$5/Den</f>
        <v>0</v>
      </c>
      <c r="F53" s="106">
        <f t="shared" si="45"/>
        <v>0</v>
      </c>
      <c r="G53" s="106">
        <f t="shared" si="45"/>
        <v>0</v>
      </c>
      <c r="H53" s="106">
        <f t="shared" si="45"/>
        <v>5.98</v>
      </c>
      <c r="I53" s="106">
        <f t="shared" si="45"/>
        <v>5.5692000000000004</v>
      </c>
      <c r="J53" s="106">
        <f t="shared" si="45"/>
        <v>5.9510880000000004</v>
      </c>
      <c r="K53" s="106">
        <f t="shared" si="45"/>
        <v>6.0701097600000002</v>
      </c>
      <c r="L53" s="106">
        <f t="shared" si="45"/>
        <v>5.9100795935999999</v>
      </c>
      <c r="M53" s="106">
        <f t="shared" si="45"/>
        <v>6.6024032031360003</v>
      </c>
      <c r="N53" s="106">
        <f t="shared" si="45"/>
        <v>6.1488468091814399</v>
      </c>
      <c r="O53" s="106">
        <f t="shared" si="45"/>
        <v>5.9731654717762561</v>
      </c>
      <c r="P53" s="106">
        <f t="shared" si="45"/>
        <v>7.006523098393548</v>
      </c>
      <c r="Q53" s="106">
        <f t="shared" si="45"/>
        <v>6.835929492519619</v>
      </c>
      <c r="R53" s="106">
        <f t="shared" si="45"/>
        <v>6.6557095331713745</v>
      </c>
      <c r="S53" s="106">
        <f t="shared" si="45"/>
        <v>7.1121010440174102</v>
      </c>
      <c r="T53" s="106">
        <f t="shared" si="45"/>
        <v>7.6170602181426474</v>
      </c>
      <c r="U53" s="106">
        <f t="shared" si="45"/>
        <v>7.7694014225055001</v>
      </c>
      <c r="V53" s="106">
        <f t="shared" si="45"/>
        <v>7.9247894509556112</v>
      </c>
      <c r="W53" s="106">
        <f t="shared" si="45"/>
        <v>7.7158631836122353</v>
      </c>
      <c r="X53" s="106">
        <f t="shared" si="45"/>
        <v>8.2449509447742155</v>
      </c>
      <c r="Y53" s="106">
        <f t="shared" si="45"/>
        <v>8.7921158711092318</v>
      </c>
      <c r="Z53" s="106">
        <f t="shared" si="45"/>
        <v>8.1881357373547718</v>
      </c>
      <c r="AA53" s="106">
        <f t="shared" si="45"/>
        <v>7.9541890020017805</v>
      </c>
      <c r="AB53" s="106">
        <f t="shared" si="45"/>
        <v>9.3302636993480874</v>
      </c>
      <c r="AC53" s="106">
        <f t="shared" si="45"/>
        <v>8.6893151495667844</v>
      </c>
      <c r="AD53" s="106">
        <f t="shared" si="45"/>
        <v>9.2851539026799355</v>
      </c>
      <c r="AE53" s="106">
        <f t="shared" si="45"/>
        <v>9.470856980733533</v>
      </c>
      <c r="AF53" s="106">
        <f t="shared" si="45"/>
        <v>9.6822292888035424</v>
      </c>
      <c r="AG53" s="106">
        <f t="shared" si="45"/>
        <v>10.816433291206243</v>
      </c>
      <c r="AH53" s="106">
        <f t="shared" si="45"/>
        <v>10.553076654550788</v>
      </c>
      <c r="AI53" s="106">
        <f t="shared" si="45"/>
        <v>10.274859179112628</v>
      </c>
      <c r="AJ53" s="106">
        <f t="shared" si="45"/>
        <v>10.979420951394639</v>
      </c>
      <c r="AK53" s="106">
        <f t="shared" si="45"/>
        <v>11.19900937042253</v>
      </c>
      <c r="AL53" s="106">
        <f t="shared" si="45"/>
        <v>11.422989557830983</v>
      </c>
      <c r="AM53" s="106">
        <f t="shared" si="45"/>
        <v>10.592226680897818</v>
      </c>
      <c r="AN53" s="106">
        <f t="shared" si="45"/>
        <v>12.424681896693141</v>
      </c>
    </row>
    <row r="54" spans="1:40" s="107" customFormat="1" x14ac:dyDescent="0.25">
      <c r="A54" s="104" t="s">
        <v>117</v>
      </c>
      <c r="B54" s="104"/>
      <c r="C54" s="104"/>
      <c r="D54" s="104"/>
      <c r="E54" s="107">
        <f>SUM(E51:E53)</f>
        <v>0</v>
      </c>
      <c r="F54" s="107">
        <f t="shared" ref="F54:AN54" si="46">SUM(F51:F53)</f>
        <v>0</v>
      </c>
      <c r="G54" s="107">
        <f t="shared" si="46"/>
        <v>0</v>
      </c>
      <c r="H54" s="107">
        <f t="shared" si="46"/>
        <v>9.5680000000000014</v>
      </c>
      <c r="I54" s="107">
        <f t="shared" si="46"/>
        <v>8.9107200000000013</v>
      </c>
      <c r="J54" s="107">
        <f t="shared" si="46"/>
        <v>9.5217407999999999</v>
      </c>
      <c r="K54" s="107">
        <f t="shared" si="46"/>
        <v>9.7121756159999997</v>
      </c>
      <c r="L54" s="107">
        <f t="shared" si="46"/>
        <v>9.4561273497599991</v>
      </c>
      <c r="M54" s="107">
        <f t="shared" si="46"/>
        <v>10.5638451250176</v>
      </c>
      <c r="N54" s="107">
        <f t="shared" si="46"/>
        <v>9.8381548946903035</v>
      </c>
      <c r="O54" s="107">
        <f t="shared" si="46"/>
        <v>9.5570647548420098</v>
      </c>
      <c r="P54" s="107">
        <f t="shared" si="46"/>
        <v>11.210436957429678</v>
      </c>
      <c r="Q54" s="107">
        <f t="shared" si="46"/>
        <v>10.93748718803139</v>
      </c>
      <c r="R54" s="107">
        <f t="shared" si="46"/>
        <v>10.649135253074199</v>
      </c>
      <c r="S54" s="107">
        <f t="shared" si="46"/>
        <v>11.379361670427858</v>
      </c>
      <c r="T54" s="107">
        <f t="shared" si="46"/>
        <v>12.187296349028236</v>
      </c>
      <c r="U54" s="107">
        <f t="shared" si="46"/>
        <v>12.4310422760088</v>
      </c>
      <c r="V54" s="107">
        <f t="shared" si="46"/>
        <v>12.679663121528979</v>
      </c>
      <c r="W54" s="107">
        <f t="shared" si="46"/>
        <v>12.345381093779576</v>
      </c>
      <c r="X54" s="107">
        <f t="shared" si="46"/>
        <v>13.191921511638746</v>
      </c>
      <c r="Y54" s="107">
        <f t="shared" si="46"/>
        <v>14.067385393774771</v>
      </c>
      <c r="Z54" s="107">
        <f t="shared" si="46"/>
        <v>13.101017179767634</v>
      </c>
      <c r="AA54" s="107">
        <f t="shared" si="46"/>
        <v>12.726702403202848</v>
      </c>
      <c r="AB54" s="107">
        <f t="shared" si="46"/>
        <v>14.928421918956939</v>
      </c>
      <c r="AC54" s="107">
        <f t="shared" si="46"/>
        <v>13.902904239306856</v>
      </c>
      <c r="AD54" s="107">
        <f t="shared" si="46"/>
        <v>14.856246244287895</v>
      </c>
      <c r="AE54" s="107">
        <f t="shared" si="46"/>
        <v>15.153371169173655</v>
      </c>
      <c r="AF54" s="107">
        <f t="shared" si="46"/>
        <v>15.491566862085667</v>
      </c>
      <c r="AG54" s="107">
        <f t="shared" si="46"/>
        <v>17.306293265929988</v>
      </c>
      <c r="AH54" s="107">
        <f t="shared" si="46"/>
        <v>16.884922647281257</v>
      </c>
      <c r="AI54" s="107">
        <f t="shared" si="46"/>
        <v>16.439774686580208</v>
      </c>
      <c r="AJ54" s="107">
        <f t="shared" si="46"/>
        <v>17.567073522231421</v>
      </c>
      <c r="AK54" s="107">
        <f t="shared" si="46"/>
        <v>17.918414992676048</v>
      </c>
      <c r="AL54" s="107">
        <f t="shared" si="46"/>
        <v>18.276783292529572</v>
      </c>
      <c r="AM54" s="107">
        <f t="shared" si="46"/>
        <v>16.947562689436509</v>
      </c>
      <c r="AN54" s="107">
        <f t="shared" si="46"/>
        <v>19.879491034709027</v>
      </c>
    </row>
    <row r="55" spans="1:40" x14ac:dyDescent="0.25">
      <c r="A55" s="9"/>
    </row>
    <row r="56" spans="1:40" x14ac:dyDescent="0.25">
      <c r="A56" s="101" t="s">
        <v>111</v>
      </c>
    </row>
    <row r="58" spans="1:40" x14ac:dyDescent="0.25">
      <c r="A58" s="9" t="s">
        <v>109</v>
      </c>
    </row>
    <row r="59" spans="1:40" x14ac:dyDescent="0.25">
      <c r="A59" t="s">
        <v>114</v>
      </c>
      <c r="E59" s="106">
        <f t="shared" ref="E59:AN59" si="47">E30*E$13*E$6/Den</f>
        <v>0</v>
      </c>
      <c r="F59" s="106">
        <f t="shared" si="47"/>
        <v>0</v>
      </c>
      <c r="G59" s="106">
        <f t="shared" si="47"/>
        <v>0</v>
      </c>
      <c r="H59" s="106">
        <f t="shared" si="47"/>
        <v>1.04</v>
      </c>
      <c r="I59" s="106">
        <f t="shared" si="47"/>
        <v>1.3520000000000001</v>
      </c>
      <c r="J59" s="106">
        <f t="shared" si="47"/>
        <v>1.1248640000000001</v>
      </c>
      <c r="K59" s="106">
        <f t="shared" si="47"/>
        <v>1.3160908800000002</v>
      </c>
      <c r="L59" s="106">
        <f t="shared" si="47"/>
        <v>1.3687345152000003</v>
      </c>
      <c r="M59" s="106">
        <f t="shared" si="47"/>
        <v>1.2653190184960001</v>
      </c>
      <c r="N59" s="106">
        <f t="shared" si="47"/>
        <v>1.6449147240448003</v>
      </c>
      <c r="O59" s="106">
        <f t="shared" si="47"/>
        <v>1.3685690504052737</v>
      </c>
      <c r="P59" s="106">
        <f t="shared" si="47"/>
        <v>1.4233118124214847</v>
      </c>
      <c r="Q59" s="106">
        <f t="shared" si="47"/>
        <v>1.4802442849183444</v>
      </c>
      <c r="R59" s="106">
        <f t="shared" si="47"/>
        <v>1.924317570393848</v>
      </c>
      <c r="S59" s="106">
        <f t="shared" si="47"/>
        <v>1.6010322185676815</v>
      </c>
      <c r="T59" s="106">
        <f t="shared" si="47"/>
        <v>1.9668680805103966</v>
      </c>
      <c r="U59" s="106">
        <f t="shared" si="47"/>
        <v>2.0455428037308128</v>
      </c>
      <c r="V59" s="106">
        <f t="shared" si="47"/>
        <v>1.8909906807822627</v>
      </c>
      <c r="W59" s="106">
        <f t="shared" si="47"/>
        <v>2.4582878850169414</v>
      </c>
      <c r="X59" s="106">
        <f t="shared" si="47"/>
        <v>2.0452955203340957</v>
      </c>
      <c r="Y59" s="106">
        <f t="shared" si="47"/>
        <v>2.1271073411474597</v>
      </c>
      <c r="Z59" s="106">
        <f t="shared" si="47"/>
        <v>2.7652395434916972</v>
      </c>
      <c r="AA59" s="106">
        <f t="shared" si="47"/>
        <v>2.300679300185092</v>
      </c>
      <c r="AB59" s="106">
        <f t="shared" si="47"/>
        <v>2.3927064721924962</v>
      </c>
      <c r="AC59" s="106">
        <f t="shared" si="47"/>
        <v>2.7994665724652203</v>
      </c>
      <c r="AD59" s="106">
        <f t="shared" si="47"/>
        <v>2.9114452353638289</v>
      </c>
      <c r="AE59" s="106">
        <f t="shared" si="47"/>
        <v>2.6914693731363402</v>
      </c>
      <c r="AF59" s="106">
        <f t="shared" si="47"/>
        <v>3.6738556943311051</v>
      </c>
      <c r="AG59" s="106">
        <f t="shared" si="47"/>
        <v>3.0566479376834792</v>
      </c>
      <c r="AH59" s="106">
        <f t="shared" si="47"/>
        <v>3.1789138551908183</v>
      </c>
      <c r="AI59" s="106">
        <f t="shared" si="47"/>
        <v>4.132588011748064</v>
      </c>
      <c r="AJ59" s="106">
        <f t="shared" si="47"/>
        <v>3.4383132257743894</v>
      </c>
      <c r="AK59" s="106">
        <f t="shared" si="47"/>
        <v>3.9689999999999999</v>
      </c>
      <c r="AL59" s="106">
        <f t="shared" si="47"/>
        <v>3.9689999999999999</v>
      </c>
      <c r="AM59" s="106">
        <f t="shared" si="47"/>
        <v>3.528</v>
      </c>
      <c r="AN59" s="106">
        <f t="shared" si="47"/>
        <v>3.528</v>
      </c>
    </row>
    <row r="60" spans="1:40" x14ac:dyDescent="0.25">
      <c r="A60" t="s">
        <v>115</v>
      </c>
      <c r="E60" s="106">
        <f t="shared" ref="E60:AN60" si="48">E31*E$13*E$6/Den</f>
        <v>0</v>
      </c>
      <c r="F60" s="106">
        <f t="shared" si="48"/>
        <v>0</v>
      </c>
      <c r="G60" s="106">
        <f t="shared" si="48"/>
        <v>0</v>
      </c>
      <c r="H60" s="106">
        <f t="shared" si="48"/>
        <v>0.41599999999999998</v>
      </c>
      <c r="I60" s="106">
        <f t="shared" si="48"/>
        <v>0.54079999999999995</v>
      </c>
      <c r="J60" s="106">
        <f t="shared" si="48"/>
        <v>0.4499456</v>
      </c>
      <c r="K60" s="106">
        <f t="shared" si="48"/>
        <v>0.52643635200000016</v>
      </c>
      <c r="L60" s="106">
        <f t="shared" si="48"/>
        <v>0.54749380608000009</v>
      </c>
      <c r="M60" s="106">
        <f t="shared" si="48"/>
        <v>0.50612760739840001</v>
      </c>
      <c r="N60" s="106">
        <f t="shared" si="48"/>
        <v>0.65796588961792013</v>
      </c>
      <c r="O60" s="106">
        <f t="shared" si="48"/>
        <v>0.54742762016210955</v>
      </c>
      <c r="P60" s="106">
        <f t="shared" si="48"/>
        <v>0.56932472496859399</v>
      </c>
      <c r="Q60" s="106">
        <f t="shared" si="48"/>
        <v>0.59209771396733779</v>
      </c>
      <c r="R60" s="106">
        <f t="shared" si="48"/>
        <v>0.76972702815753913</v>
      </c>
      <c r="S60" s="106">
        <f t="shared" si="48"/>
        <v>0.64041288742707259</v>
      </c>
      <c r="T60" s="106">
        <f t="shared" si="48"/>
        <v>0.78674723220415876</v>
      </c>
      <c r="U60" s="106">
        <f t="shared" si="48"/>
        <v>0.81821712149232506</v>
      </c>
      <c r="V60" s="106">
        <f t="shared" si="48"/>
        <v>0.75639627231290507</v>
      </c>
      <c r="W60" s="106">
        <f t="shared" si="48"/>
        <v>0.98331515400677671</v>
      </c>
      <c r="X60" s="106">
        <f t="shared" si="48"/>
        <v>0.81811820813363823</v>
      </c>
      <c r="Y60" s="106">
        <f t="shared" si="48"/>
        <v>0.85084293645898379</v>
      </c>
      <c r="Z60" s="106">
        <f t="shared" si="48"/>
        <v>1.1060958173966791</v>
      </c>
      <c r="AA60" s="106">
        <f t="shared" si="48"/>
        <v>0.9202717200740369</v>
      </c>
      <c r="AB60" s="106">
        <f t="shared" si="48"/>
        <v>0.95708258887699837</v>
      </c>
      <c r="AC60" s="106">
        <f t="shared" si="48"/>
        <v>1.1197866289860881</v>
      </c>
      <c r="AD60" s="106">
        <f t="shared" si="48"/>
        <v>1.1645780941455317</v>
      </c>
      <c r="AE60" s="106">
        <f t="shared" si="48"/>
        <v>1.0765877492545362</v>
      </c>
      <c r="AF60" s="106">
        <f t="shared" si="48"/>
        <v>1.4695422777324421</v>
      </c>
      <c r="AG60" s="106">
        <f t="shared" si="48"/>
        <v>1.2226591750733917</v>
      </c>
      <c r="AH60" s="106">
        <f t="shared" si="48"/>
        <v>1.2715655420763274</v>
      </c>
      <c r="AI60" s="106">
        <f t="shared" si="48"/>
        <v>1.6530352046992258</v>
      </c>
      <c r="AJ60" s="106">
        <f t="shared" si="48"/>
        <v>1.3753252903097559</v>
      </c>
      <c r="AK60" s="106">
        <f t="shared" si="48"/>
        <v>1.5875999999999999</v>
      </c>
      <c r="AL60" s="106">
        <f t="shared" si="48"/>
        <v>1.5875999999999999</v>
      </c>
      <c r="AM60" s="106">
        <f t="shared" si="48"/>
        <v>1.4112</v>
      </c>
      <c r="AN60" s="106">
        <f t="shared" si="48"/>
        <v>1.4112</v>
      </c>
    </row>
    <row r="61" spans="1:40" x14ac:dyDescent="0.25">
      <c r="A61" t="s">
        <v>116</v>
      </c>
      <c r="E61" s="106">
        <f t="shared" ref="E61:AN61" si="49">E32*E$13*E$6/Den</f>
        <v>0</v>
      </c>
      <c r="F61" s="106">
        <f t="shared" si="49"/>
        <v>0</v>
      </c>
      <c r="G61" s="106">
        <f t="shared" si="49"/>
        <v>0</v>
      </c>
      <c r="H61" s="106">
        <f t="shared" si="49"/>
        <v>2.08</v>
      </c>
      <c r="I61" s="106">
        <f t="shared" si="49"/>
        <v>2.7040000000000002</v>
      </c>
      <c r="J61" s="106">
        <f t="shared" si="49"/>
        <v>2.2497280000000002</v>
      </c>
      <c r="K61" s="106">
        <f t="shared" si="49"/>
        <v>2.6321817600000004</v>
      </c>
      <c r="L61" s="106">
        <f t="shared" si="49"/>
        <v>2.7374690304000007</v>
      </c>
      <c r="M61" s="106">
        <f t="shared" si="49"/>
        <v>2.5306380369920003</v>
      </c>
      <c r="N61" s="106">
        <f t="shared" si="49"/>
        <v>3.2898294480896006</v>
      </c>
      <c r="O61" s="106">
        <f t="shared" si="49"/>
        <v>2.7371381008105473</v>
      </c>
      <c r="P61" s="106">
        <f t="shared" si="49"/>
        <v>2.8466236248429695</v>
      </c>
      <c r="Q61" s="106">
        <f t="shared" si="49"/>
        <v>2.9604885698366887</v>
      </c>
      <c r="R61" s="106">
        <f t="shared" si="49"/>
        <v>3.848635140787696</v>
      </c>
      <c r="S61" s="106">
        <f t="shared" si="49"/>
        <v>3.202064437135363</v>
      </c>
      <c r="T61" s="106">
        <f t="shared" si="49"/>
        <v>3.9337361610207933</v>
      </c>
      <c r="U61" s="106">
        <f t="shared" si="49"/>
        <v>4.0910856074616255</v>
      </c>
      <c r="V61" s="106">
        <f t="shared" si="49"/>
        <v>3.7819813615645255</v>
      </c>
      <c r="W61" s="106">
        <f t="shared" si="49"/>
        <v>4.9165757700338828</v>
      </c>
      <c r="X61" s="106">
        <f t="shared" si="49"/>
        <v>4.0905910406681913</v>
      </c>
      <c r="Y61" s="106">
        <f t="shared" si="49"/>
        <v>4.2542146822949194</v>
      </c>
      <c r="Z61" s="106">
        <f t="shared" si="49"/>
        <v>5.5304790869833944</v>
      </c>
      <c r="AA61" s="106">
        <f t="shared" si="49"/>
        <v>4.6013586003701841</v>
      </c>
      <c r="AB61" s="106">
        <f t="shared" si="49"/>
        <v>4.7854129443849924</v>
      </c>
      <c r="AC61" s="106">
        <f t="shared" si="49"/>
        <v>5.5989331449304407</v>
      </c>
      <c r="AD61" s="106">
        <f t="shared" si="49"/>
        <v>5.8228904707276579</v>
      </c>
      <c r="AE61" s="106">
        <f t="shared" si="49"/>
        <v>5.3829387462726803</v>
      </c>
      <c r="AF61" s="106">
        <f t="shared" si="49"/>
        <v>7.3477113886622103</v>
      </c>
      <c r="AG61" s="106">
        <f t="shared" si="49"/>
        <v>6.1132958753669584</v>
      </c>
      <c r="AH61" s="106">
        <f t="shared" si="49"/>
        <v>6.3578277103816365</v>
      </c>
      <c r="AI61" s="106">
        <f t="shared" si="49"/>
        <v>8.265176023496128</v>
      </c>
      <c r="AJ61" s="106">
        <f t="shared" si="49"/>
        <v>6.8766264515487787</v>
      </c>
      <c r="AK61" s="106">
        <f t="shared" si="49"/>
        <v>7.9379999999999997</v>
      </c>
      <c r="AL61" s="106">
        <f t="shared" si="49"/>
        <v>7.9379999999999997</v>
      </c>
      <c r="AM61" s="106">
        <f t="shared" si="49"/>
        <v>7.056</v>
      </c>
      <c r="AN61" s="106">
        <f t="shared" si="49"/>
        <v>7.056</v>
      </c>
    </row>
    <row r="62" spans="1:40" s="108" customFormat="1" x14ac:dyDescent="0.25">
      <c r="A62" s="104" t="s">
        <v>117</v>
      </c>
      <c r="B62" s="104"/>
      <c r="C62" s="104"/>
      <c r="D62" s="104"/>
      <c r="E62" s="107">
        <f>SUM(E59:E61)</f>
        <v>0</v>
      </c>
      <c r="F62" s="107">
        <f t="shared" ref="F62:AN62" si="50">SUM(F59:F61)</f>
        <v>0</v>
      </c>
      <c r="G62" s="107">
        <f t="shared" si="50"/>
        <v>0</v>
      </c>
      <c r="H62" s="107">
        <f t="shared" si="50"/>
        <v>3.536</v>
      </c>
      <c r="I62" s="107">
        <f t="shared" si="50"/>
        <v>4.5968</v>
      </c>
      <c r="J62" s="107">
        <f t="shared" si="50"/>
        <v>3.8245376000000002</v>
      </c>
      <c r="K62" s="107">
        <f t="shared" si="50"/>
        <v>4.4747089920000009</v>
      </c>
      <c r="L62" s="107">
        <f t="shared" si="50"/>
        <v>4.6536973516800009</v>
      </c>
      <c r="M62" s="107">
        <f t="shared" si="50"/>
        <v>4.3020846628864007</v>
      </c>
      <c r="N62" s="107">
        <f t="shared" si="50"/>
        <v>5.5927100617523209</v>
      </c>
      <c r="O62" s="107">
        <f t="shared" si="50"/>
        <v>4.6531347713779301</v>
      </c>
      <c r="P62" s="107">
        <f t="shared" si="50"/>
        <v>4.8392601622330478</v>
      </c>
      <c r="Q62" s="107">
        <f t="shared" si="50"/>
        <v>5.0328305687223711</v>
      </c>
      <c r="R62" s="107">
        <f t="shared" si="50"/>
        <v>6.542679739339083</v>
      </c>
      <c r="S62" s="107">
        <f t="shared" si="50"/>
        <v>5.4435095431301175</v>
      </c>
      <c r="T62" s="107">
        <f t="shared" si="50"/>
        <v>6.6873514737353492</v>
      </c>
      <c r="U62" s="107">
        <f t="shared" si="50"/>
        <v>6.9548455326847636</v>
      </c>
      <c r="V62" s="107">
        <f t="shared" si="50"/>
        <v>6.4293683146596932</v>
      </c>
      <c r="W62" s="107">
        <f t="shared" si="50"/>
        <v>8.3581788090576019</v>
      </c>
      <c r="X62" s="107">
        <f t="shared" si="50"/>
        <v>6.954004769135925</v>
      </c>
      <c r="Y62" s="107">
        <f t="shared" si="50"/>
        <v>7.2321649599013629</v>
      </c>
      <c r="Z62" s="107">
        <f t="shared" si="50"/>
        <v>9.4018144478717716</v>
      </c>
      <c r="AA62" s="107">
        <f t="shared" si="50"/>
        <v>7.822309620629313</v>
      </c>
      <c r="AB62" s="107">
        <f t="shared" si="50"/>
        <v>8.135202005454488</v>
      </c>
      <c r="AC62" s="107">
        <f t="shared" si="50"/>
        <v>9.51818634638175</v>
      </c>
      <c r="AD62" s="107">
        <f t="shared" si="50"/>
        <v>9.8989138002370183</v>
      </c>
      <c r="AE62" s="107">
        <f t="shared" si="50"/>
        <v>9.1509958686635571</v>
      </c>
      <c r="AF62" s="107">
        <f t="shared" si="50"/>
        <v>12.491109360725758</v>
      </c>
      <c r="AG62" s="107">
        <f t="shared" si="50"/>
        <v>10.39260298812383</v>
      </c>
      <c r="AH62" s="107">
        <f t="shared" si="50"/>
        <v>10.808307107648783</v>
      </c>
      <c r="AI62" s="107">
        <f t="shared" si="50"/>
        <v>14.050799239943418</v>
      </c>
      <c r="AJ62" s="107">
        <f t="shared" si="50"/>
        <v>11.690264967632924</v>
      </c>
      <c r="AK62" s="107">
        <f t="shared" si="50"/>
        <v>13.494599999999998</v>
      </c>
      <c r="AL62" s="107">
        <f t="shared" si="50"/>
        <v>13.494599999999998</v>
      </c>
      <c r="AM62" s="107">
        <f t="shared" si="50"/>
        <v>11.995200000000001</v>
      </c>
      <c r="AN62" s="107">
        <f t="shared" si="50"/>
        <v>11.995200000000001</v>
      </c>
    </row>
    <row r="64" spans="1:40" x14ac:dyDescent="0.25">
      <c r="A64" s="9" t="s">
        <v>110</v>
      </c>
    </row>
    <row r="65" spans="1:40" x14ac:dyDescent="0.25">
      <c r="A65" t="s">
        <v>114</v>
      </c>
      <c r="E65" s="106">
        <f t="shared" ref="E65:AN65" si="51">E35*E$6*E$14/Den</f>
        <v>0</v>
      </c>
      <c r="F65" s="106">
        <f t="shared" si="51"/>
        <v>0</v>
      </c>
      <c r="G65" s="106">
        <f t="shared" si="51"/>
        <v>0</v>
      </c>
      <c r="H65" s="106">
        <f t="shared" si="51"/>
        <v>1.56</v>
      </c>
      <c r="I65" s="106">
        <f t="shared" si="51"/>
        <v>2.0280000000000005</v>
      </c>
      <c r="J65" s="106">
        <f t="shared" si="51"/>
        <v>1.6872960000000004</v>
      </c>
      <c r="K65" s="106">
        <f t="shared" si="51"/>
        <v>1.9741363200000006</v>
      </c>
      <c r="L65" s="106">
        <f t="shared" si="51"/>
        <v>2.0531017728000007</v>
      </c>
      <c r="M65" s="106">
        <f t="shared" si="51"/>
        <v>1.8979785277440007</v>
      </c>
      <c r="N65" s="106">
        <f t="shared" si="51"/>
        <v>2.4673720860672006</v>
      </c>
      <c r="O65" s="106">
        <f t="shared" si="51"/>
        <v>2.0528535756079109</v>
      </c>
      <c r="P65" s="106">
        <f t="shared" si="51"/>
        <v>2.1349677186322271</v>
      </c>
      <c r="Q65" s="106">
        <f t="shared" si="51"/>
        <v>2.2203664273775163</v>
      </c>
      <c r="R65" s="106">
        <f t="shared" si="51"/>
        <v>2.886476355590772</v>
      </c>
      <c r="S65" s="106">
        <f t="shared" si="51"/>
        <v>2.4015483278515224</v>
      </c>
      <c r="T65" s="106">
        <f t="shared" si="51"/>
        <v>2.9503021207655951</v>
      </c>
      <c r="U65" s="106">
        <f t="shared" si="51"/>
        <v>3.0683142055962187</v>
      </c>
      <c r="V65" s="106">
        <f t="shared" si="51"/>
        <v>2.8364860211733931</v>
      </c>
      <c r="W65" s="106">
        <f t="shared" si="51"/>
        <v>3.6874318275254119</v>
      </c>
      <c r="X65" s="106">
        <f t="shared" si="51"/>
        <v>3.0679432805011428</v>
      </c>
      <c r="Y65" s="106">
        <f t="shared" si="51"/>
        <v>3.1906610117211884</v>
      </c>
      <c r="Z65" s="106">
        <f t="shared" si="51"/>
        <v>4.1478593152375458</v>
      </c>
      <c r="AA65" s="106">
        <f t="shared" si="51"/>
        <v>3.4510189502776378</v>
      </c>
      <c r="AB65" s="106">
        <f t="shared" si="51"/>
        <v>3.5890597082887434</v>
      </c>
      <c r="AC65" s="106">
        <f t="shared" si="51"/>
        <v>4.1991998586978294</v>
      </c>
      <c r="AD65" s="106">
        <f t="shared" si="51"/>
        <v>4.3671678530457436</v>
      </c>
      <c r="AE65" s="106">
        <f t="shared" si="51"/>
        <v>4.0372040597045098</v>
      </c>
      <c r="AF65" s="106">
        <f t="shared" si="51"/>
        <v>5.5107835414966573</v>
      </c>
      <c r="AG65" s="106">
        <f t="shared" si="51"/>
        <v>4.5849719065252188</v>
      </c>
      <c r="AH65" s="106">
        <f t="shared" si="51"/>
        <v>4.7683707827862269</v>
      </c>
      <c r="AI65" s="106">
        <f t="shared" si="51"/>
        <v>6.1988820176220951</v>
      </c>
      <c r="AJ65" s="106">
        <f t="shared" si="51"/>
        <v>5.1574698386615836</v>
      </c>
      <c r="AK65" s="106">
        <f t="shared" si="51"/>
        <v>5.8046625000000001</v>
      </c>
      <c r="AL65" s="106">
        <f t="shared" si="51"/>
        <v>5.8046625000000001</v>
      </c>
      <c r="AM65" s="106">
        <f t="shared" si="51"/>
        <v>5.1597</v>
      </c>
      <c r="AN65" s="106">
        <f t="shared" si="51"/>
        <v>5.1597</v>
      </c>
    </row>
    <row r="66" spans="1:40" x14ac:dyDescent="0.25">
      <c r="A66" t="s">
        <v>115</v>
      </c>
      <c r="E66" s="106">
        <f t="shared" ref="E66:AN66" si="52">E36*E$6*E$14/Den</f>
        <v>0</v>
      </c>
      <c r="F66" s="106">
        <f t="shared" si="52"/>
        <v>0</v>
      </c>
      <c r="G66" s="106">
        <f t="shared" si="52"/>
        <v>0</v>
      </c>
      <c r="H66" s="106">
        <f t="shared" si="52"/>
        <v>0.6</v>
      </c>
      <c r="I66" s="106">
        <f t="shared" si="52"/>
        <v>0.78</v>
      </c>
      <c r="J66" s="106">
        <f t="shared" si="52"/>
        <v>0.64896000000000009</v>
      </c>
      <c r="K66" s="106">
        <f t="shared" si="52"/>
        <v>0.75928320000000027</v>
      </c>
      <c r="L66" s="106">
        <f t="shared" si="52"/>
        <v>0.78965452800000024</v>
      </c>
      <c r="M66" s="106">
        <f t="shared" si="52"/>
        <v>0.72999174144000023</v>
      </c>
      <c r="N66" s="106">
        <f t="shared" si="52"/>
        <v>0.94898926387200033</v>
      </c>
      <c r="O66" s="106">
        <f t="shared" si="52"/>
        <v>0.78955906754150418</v>
      </c>
      <c r="P66" s="106">
        <f t="shared" si="52"/>
        <v>0.82114143024316433</v>
      </c>
      <c r="Q66" s="106">
        <f t="shared" si="52"/>
        <v>0.85398708745289098</v>
      </c>
      <c r="R66" s="106">
        <f t="shared" si="52"/>
        <v>1.1101832136887584</v>
      </c>
      <c r="S66" s="106">
        <f t="shared" si="52"/>
        <v>0.92367243378904706</v>
      </c>
      <c r="T66" s="106">
        <f t="shared" si="52"/>
        <v>1.1347315849098443</v>
      </c>
      <c r="U66" s="106">
        <f t="shared" si="52"/>
        <v>1.180120848306238</v>
      </c>
      <c r="V66" s="106">
        <f t="shared" si="52"/>
        <v>1.0909561619897667</v>
      </c>
      <c r="W66" s="106">
        <f t="shared" si="52"/>
        <v>1.418243010586697</v>
      </c>
      <c r="X66" s="106">
        <f t="shared" si="52"/>
        <v>1.1799781848081319</v>
      </c>
      <c r="Y66" s="106">
        <f t="shared" si="52"/>
        <v>1.227177312200457</v>
      </c>
      <c r="Z66" s="106">
        <f t="shared" si="52"/>
        <v>1.5953305058605942</v>
      </c>
      <c r="AA66" s="106">
        <f t="shared" si="52"/>
        <v>1.3273149808760145</v>
      </c>
      <c r="AB66" s="106">
        <f t="shared" si="52"/>
        <v>1.3804075801110549</v>
      </c>
      <c r="AC66" s="106">
        <f t="shared" si="52"/>
        <v>1.6150768687299346</v>
      </c>
      <c r="AD66" s="106">
        <f t="shared" si="52"/>
        <v>1.6796799434791323</v>
      </c>
      <c r="AE66" s="106">
        <f t="shared" si="52"/>
        <v>1.5527707921940423</v>
      </c>
      <c r="AF66" s="106">
        <f t="shared" si="52"/>
        <v>2.1195321313448683</v>
      </c>
      <c r="AG66" s="106">
        <f t="shared" si="52"/>
        <v>1.7634507332789302</v>
      </c>
      <c r="AH66" s="106">
        <f t="shared" si="52"/>
        <v>1.8339887626100873</v>
      </c>
      <c r="AI66" s="106">
        <f t="shared" si="52"/>
        <v>2.3841853913931135</v>
      </c>
      <c r="AJ66" s="106">
        <f t="shared" si="52"/>
        <v>1.9836422456390705</v>
      </c>
      <c r="AK66" s="106">
        <f t="shared" si="52"/>
        <v>2.2325624999999998</v>
      </c>
      <c r="AL66" s="106">
        <f t="shared" si="52"/>
        <v>2.2325624999999998</v>
      </c>
      <c r="AM66" s="106">
        <f t="shared" si="52"/>
        <v>1.9844999999999999</v>
      </c>
      <c r="AN66" s="106">
        <f t="shared" si="52"/>
        <v>1.9844999999999999</v>
      </c>
    </row>
    <row r="67" spans="1:40" x14ac:dyDescent="0.25">
      <c r="A67" t="s">
        <v>116</v>
      </c>
      <c r="E67" s="106">
        <f t="shared" ref="E67:AN67" si="53">E37*E$6*E$14/Den</f>
        <v>0</v>
      </c>
      <c r="F67" s="106">
        <f t="shared" si="53"/>
        <v>0</v>
      </c>
      <c r="G67" s="106">
        <f t="shared" si="53"/>
        <v>0</v>
      </c>
      <c r="H67" s="106">
        <f t="shared" si="53"/>
        <v>2.4</v>
      </c>
      <c r="I67" s="106">
        <f t="shared" si="53"/>
        <v>3.12</v>
      </c>
      <c r="J67" s="106">
        <f t="shared" si="53"/>
        <v>2.5958400000000004</v>
      </c>
      <c r="K67" s="106">
        <f t="shared" si="53"/>
        <v>3.0371328000000011</v>
      </c>
      <c r="L67" s="106">
        <f t="shared" si="53"/>
        <v>3.158618112000001</v>
      </c>
      <c r="M67" s="106">
        <f t="shared" si="53"/>
        <v>2.9199669657600009</v>
      </c>
      <c r="N67" s="106">
        <f t="shared" si="53"/>
        <v>3.7959570554880013</v>
      </c>
      <c r="O67" s="106">
        <f t="shared" si="53"/>
        <v>3.1582362701660167</v>
      </c>
      <c r="P67" s="106">
        <f t="shared" si="53"/>
        <v>3.2845657209726573</v>
      </c>
      <c r="Q67" s="106">
        <f t="shared" si="53"/>
        <v>3.4159483498115639</v>
      </c>
      <c r="R67" s="106">
        <f t="shared" si="53"/>
        <v>4.4407328547550335</v>
      </c>
      <c r="S67" s="106">
        <f t="shared" si="53"/>
        <v>3.6946897351561883</v>
      </c>
      <c r="T67" s="106">
        <f t="shared" si="53"/>
        <v>4.5389263396393771</v>
      </c>
      <c r="U67" s="106">
        <f t="shared" si="53"/>
        <v>4.7204833932249519</v>
      </c>
      <c r="V67" s="106">
        <f t="shared" si="53"/>
        <v>4.363824647959067</v>
      </c>
      <c r="W67" s="106">
        <f t="shared" si="53"/>
        <v>5.672972042346788</v>
      </c>
      <c r="X67" s="106">
        <f t="shared" si="53"/>
        <v>4.7199127392325275</v>
      </c>
      <c r="Y67" s="106">
        <f t="shared" si="53"/>
        <v>4.908709248801828</v>
      </c>
      <c r="Z67" s="106">
        <f t="shared" si="53"/>
        <v>6.3813220234423769</v>
      </c>
      <c r="AA67" s="106">
        <f t="shared" si="53"/>
        <v>5.3092599235040581</v>
      </c>
      <c r="AB67" s="106">
        <f t="shared" si="53"/>
        <v>5.5216303204442196</v>
      </c>
      <c r="AC67" s="106">
        <f t="shared" si="53"/>
        <v>6.4603074749197384</v>
      </c>
      <c r="AD67" s="106">
        <f t="shared" si="53"/>
        <v>6.7187197739165292</v>
      </c>
      <c r="AE67" s="106">
        <f t="shared" si="53"/>
        <v>6.2110831687761694</v>
      </c>
      <c r="AF67" s="106">
        <f t="shared" si="53"/>
        <v>8.4781285253794731</v>
      </c>
      <c r="AG67" s="106">
        <f t="shared" si="53"/>
        <v>7.0538029331157208</v>
      </c>
      <c r="AH67" s="106">
        <f t="shared" si="53"/>
        <v>7.335955050440349</v>
      </c>
      <c r="AI67" s="106">
        <f t="shared" si="53"/>
        <v>9.5367415655724539</v>
      </c>
      <c r="AJ67" s="106">
        <f t="shared" si="53"/>
        <v>7.9345689825562822</v>
      </c>
      <c r="AK67" s="106">
        <f t="shared" si="53"/>
        <v>8.9302499999999991</v>
      </c>
      <c r="AL67" s="106">
        <f t="shared" si="53"/>
        <v>8.9302499999999991</v>
      </c>
      <c r="AM67" s="106">
        <f t="shared" si="53"/>
        <v>7.9379999999999997</v>
      </c>
      <c r="AN67" s="106">
        <f t="shared" si="53"/>
        <v>7.9379999999999997</v>
      </c>
    </row>
    <row r="68" spans="1:40" s="108" customFormat="1" x14ac:dyDescent="0.25">
      <c r="A68" s="104" t="s">
        <v>117</v>
      </c>
      <c r="B68" s="104"/>
      <c r="C68" s="104"/>
      <c r="D68" s="104"/>
      <c r="E68" s="107">
        <f>SUM(E65:E67)</f>
        <v>0</v>
      </c>
      <c r="F68" s="107">
        <f t="shared" ref="F68:AN68" si="54">SUM(F65:F67)</f>
        <v>0</v>
      </c>
      <c r="G68" s="107">
        <f t="shared" si="54"/>
        <v>0</v>
      </c>
      <c r="H68" s="107">
        <f t="shared" si="54"/>
        <v>4.5600000000000005</v>
      </c>
      <c r="I68" s="107">
        <f t="shared" si="54"/>
        <v>5.9280000000000008</v>
      </c>
      <c r="J68" s="107">
        <f t="shared" si="54"/>
        <v>4.9320960000000014</v>
      </c>
      <c r="K68" s="107">
        <f t="shared" si="54"/>
        <v>5.770552320000002</v>
      </c>
      <c r="L68" s="107">
        <f t="shared" si="54"/>
        <v>6.0013744128000024</v>
      </c>
      <c r="M68" s="107">
        <f t="shared" si="54"/>
        <v>5.5479372349440013</v>
      </c>
      <c r="N68" s="107">
        <f t="shared" si="54"/>
        <v>7.2123184054272027</v>
      </c>
      <c r="O68" s="107">
        <f t="shared" si="54"/>
        <v>6.0006489133154322</v>
      </c>
      <c r="P68" s="107">
        <f t="shared" si="54"/>
        <v>6.240674869848049</v>
      </c>
      <c r="Q68" s="107">
        <f t="shared" si="54"/>
        <v>6.490301864641971</v>
      </c>
      <c r="R68" s="107">
        <f t="shared" si="54"/>
        <v>8.437392424034563</v>
      </c>
      <c r="S68" s="107">
        <f t="shared" si="54"/>
        <v>7.0199104967967578</v>
      </c>
      <c r="T68" s="107">
        <f t="shared" si="54"/>
        <v>8.6239600453148171</v>
      </c>
      <c r="U68" s="107">
        <f t="shared" si="54"/>
        <v>8.9689184471274075</v>
      </c>
      <c r="V68" s="107">
        <f t="shared" si="54"/>
        <v>8.2912668311222273</v>
      </c>
      <c r="W68" s="107">
        <f t="shared" si="54"/>
        <v>10.778646880458897</v>
      </c>
      <c r="X68" s="107">
        <f t="shared" si="54"/>
        <v>8.967834204541802</v>
      </c>
      <c r="Y68" s="107">
        <f t="shared" si="54"/>
        <v>9.3265475727234737</v>
      </c>
      <c r="Z68" s="107">
        <f t="shared" si="54"/>
        <v>12.124511844540518</v>
      </c>
      <c r="AA68" s="107">
        <f t="shared" si="54"/>
        <v>10.08759385465771</v>
      </c>
      <c r="AB68" s="107">
        <f t="shared" si="54"/>
        <v>10.491097608844019</v>
      </c>
      <c r="AC68" s="107">
        <f t="shared" si="54"/>
        <v>12.274584202347501</v>
      </c>
      <c r="AD68" s="107">
        <f t="shared" si="54"/>
        <v>12.765567570441405</v>
      </c>
      <c r="AE68" s="107">
        <f t="shared" si="54"/>
        <v>11.801058020674722</v>
      </c>
      <c r="AF68" s="107">
        <f t="shared" si="54"/>
        <v>16.108444198221001</v>
      </c>
      <c r="AG68" s="107">
        <f t="shared" si="54"/>
        <v>13.402225572919869</v>
      </c>
      <c r="AH68" s="107">
        <f t="shared" si="54"/>
        <v>13.938314595836664</v>
      </c>
      <c r="AI68" s="107">
        <f t="shared" si="54"/>
        <v>18.119808974587663</v>
      </c>
      <c r="AJ68" s="107">
        <f t="shared" si="54"/>
        <v>15.075681066856937</v>
      </c>
      <c r="AK68" s="107">
        <f t="shared" si="54"/>
        <v>16.967475</v>
      </c>
      <c r="AL68" s="107">
        <f t="shared" si="54"/>
        <v>16.967475</v>
      </c>
      <c r="AM68" s="107">
        <f t="shared" si="54"/>
        <v>15.0822</v>
      </c>
      <c r="AN68" s="107">
        <f t="shared" si="54"/>
        <v>15.0822</v>
      </c>
    </row>
    <row r="70" spans="1:40" x14ac:dyDescent="0.25">
      <c r="A70" s="9" t="s">
        <v>119</v>
      </c>
    </row>
    <row r="71" spans="1:40" x14ac:dyDescent="0.25">
      <c r="A71" t="s">
        <v>114</v>
      </c>
      <c r="E71" s="106">
        <f>SUM(E45,E51,E59,E65)</f>
        <v>0</v>
      </c>
      <c r="F71" s="106">
        <f t="shared" ref="F71:AJ73" si="55">SUM(F45,F51,F59,F65)</f>
        <v>0</v>
      </c>
      <c r="G71" s="106">
        <f t="shared" si="55"/>
        <v>0</v>
      </c>
      <c r="H71" s="106">
        <f t="shared" si="55"/>
        <v>6.3719999999999999</v>
      </c>
      <c r="I71" s="106">
        <f t="shared" si="55"/>
        <v>6.8928800000000008</v>
      </c>
      <c r="J71" s="106">
        <f t="shared" si="55"/>
        <v>6.5659232000000003</v>
      </c>
      <c r="K71" s="106">
        <f t="shared" si="55"/>
        <v>7.1190656640000007</v>
      </c>
      <c r="L71" s="106">
        <f t="shared" si="55"/>
        <v>7.1497326470400013</v>
      </c>
      <c r="M71" s="106">
        <f t="shared" si="55"/>
        <v>7.3278903359104017</v>
      </c>
      <c r="N71" s="106">
        <f t="shared" si="55"/>
        <v>7.9907901820572169</v>
      </c>
      <c r="O71" s="106">
        <f t="shared" si="55"/>
        <v>7.1891116159028225</v>
      </c>
      <c r="P71" s="106">
        <f t="shared" si="55"/>
        <v>7.9777787161942584</v>
      </c>
      <c r="Q71" s="106">
        <f t="shared" si="55"/>
        <v>8.0125046998851595</v>
      </c>
      <c r="R71" s="106">
        <f t="shared" si="55"/>
        <v>9.0090107084465636</v>
      </c>
      <c r="S71" s="106">
        <f t="shared" si="55"/>
        <v>8.4886750511071103</v>
      </c>
      <c r="T71" s="106">
        <f t="shared" si="55"/>
        <v>9.7217774157967387</v>
      </c>
      <c r="U71" s="106">
        <f t="shared" si="55"/>
        <v>10.014556368138193</v>
      </c>
      <c r="V71" s="106">
        <f t="shared" si="55"/>
        <v>9.7261900479430405</v>
      </c>
      <c r="W71" s="106">
        <f t="shared" si="55"/>
        <v>11.012648797590071</v>
      </c>
      <c r="X71" s="106">
        <f t="shared" si="55"/>
        <v>10.313900166000515</v>
      </c>
      <c r="Y71" s="106">
        <f t="shared" si="55"/>
        <v>10.863564517722164</v>
      </c>
      <c r="Z71" s="106">
        <f t="shared" si="55"/>
        <v>12.077922939214561</v>
      </c>
      <c r="AA71" s="106">
        <f t="shared" si="55"/>
        <v>10.768955928648468</v>
      </c>
      <c r="AB71" s="106">
        <f t="shared" si="55"/>
        <v>11.867009436993111</v>
      </c>
      <c r="AC71" s="106">
        <f t="shared" si="55"/>
        <v>12.479619063966714</v>
      </c>
      <c r="AD71" s="106">
        <f t="shared" si="55"/>
        <v>13.135402473176917</v>
      </c>
      <c r="AE71" s="106">
        <f t="shared" si="55"/>
        <v>12.702598605303542</v>
      </c>
      <c r="AF71" s="106">
        <f t="shared" si="55"/>
        <v>15.291891556457688</v>
      </c>
      <c r="AG71" s="106">
        <f t="shared" si="55"/>
        <v>14.464293150969558</v>
      </c>
      <c r="AH71" s="106">
        <f t="shared" si="55"/>
        <v>14.603840681616774</v>
      </c>
      <c r="AI71" s="106">
        <f t="shared" si="55"/>
        <v>16.812535050041205</v>
      </c>
      <c r="AJ71" s="106">
        <f t="shared" si="55"/>
        <v>15.521263972238746</v>
      </c>
      <c r="AK71" s="106">
        <f>SUM(AK45,AK51,AK59,AK65)</f>
        <v>16.837653025958829</v>
      </c>
      <c r="AL71" s="106">
        <f t="shared" ref="AL71:AN71" si="56">SUM(AL45,AL51,AL59,AL65)</f>
        <v>16.978932836478005</v>
      </c>
      <c r="AM71" s="106">
        <f t="shared" si="56"/>
        <v>15.368950675643241</v>
      </c>
      <c r="AN71" s="106">
        <f t="shared" si="56"/>
        <v>16.52480704252952</v>
      </c>
    </row>
    <row r="72" spans="1:40" x14ac:dyDescent="0.25">
      <c r="A72" t="s">
        <v>115</v>
      </c>
      <c r="E72" s="106">
        <f t="shared" ref="E72:T73" si="57">SUM(E46,E52,E60,E66)</f>
        <v>0</v>
      </c>
      <c r="F72" s="106">
        <f t="shared" si="57"/>
        <v>0</v>
      </c>
      <c r="G72" s="106">
        <f t="shared" si="57"/>
        <v>0</v>
      </c>
      <c r="H72" s="106">
        <f t="shared" si="57"/>
        <v>3.1320000000000001</v>
      </c>
      <c r="I72" s="106">
        <f t="shared" si="57"/>
        <v>3.2914399999999997</v>
      </c>
      <c r="J72" s="106">
        <f t="shared" si="57"/>
        <v>3.2046752000000005</v>
      </c>
      <c r="K72" s="106">
        <f t="shared" si="57"/>
        <v>3.4336045440000005</v>
      </c>
      <c r="L72" s="106">
        <f t="shared" si="57"/>
        <v>3.4284072672000003</v>
      </c>
      <c r="M72" s="106">
        <f t="shared" si="57"/>
        <v>3.5723543284096007</v>
      </c>
      <c r="N72" s="106">
        <f t="shared" si="57"/>
        <v>3.7827009475079687</v>
      </c>
      <c r="O72" s="106">
        <f t="shared" si="57"/>
        <v>3.450568316178289</v>
      </c>
      <c r="P72" s="106">
        <f t="shared" si="57"/>
        <v>3.8696974054125528</v>
      </c>
      <c r="Q72" s="106">
        <f t="shared" si="57"/>
        <v>3.8649521603117858</v>
      </c>
      <c r="R72" s="106">
        <f t="shared" si="57"/>
        <v>4.2350074612761688</v>
      </c>
      <c r="S72" s="106">
        <f t="shared" si="57"/>
        <v>4.0806749214068958</v>
      </c>
      <c r="T72" s="106">
        <f t="shared" si="57"/>
        <v>4.616746278918324</v>
      </c>
      <c r="U72" s="106">
        <f t="shared" si="55"/>
        <v>4.7475107808389714</v>
      </c>
      <c r="V72" s="106">
        <f t="shared" si="55"/>
        <v>4.6515087015638876</v>
      </c>
      <c r="W72" s="106">
        <f t="shared" si="55"/>
        <v>5.1317866757178034</v>
      </c>
      <c r="X72" s="106">
        <f t="shared" si="55"/>
        <v>4.9155405734003388</v>
      </c>
      <c r="Y72" s="106">
        <f t="shared" si="55"/>
        <v>5.1890766338211698</v>
      </c>
      <c r="Z72" s="106">
        <f t="shared" si="55"/>
        <v>5.5987666610905</v>
      </c>
      <c r="AA72" s="106">
        <f t="shared" si="55"/>
        <v>5.0621458862737576</v>
      </c>
      <c r="AB72" s="106">
        <f t="shared" si="55"/>
        <v>5.6389680933727613</v>
      </c>
      <c r="AC72" s="106">
        <f t="shared" si="55"/>
        <v>5.8095442429473465</v>
      </c>
      <c r="AD72" s="106">
        <f t="shared" si="55"/>
        <v>6.1297740339575641</v>
      </c>
      <c r="AE72" s="106">
        <f t="shared" si="55"/>
        <v>5.9805848577081377</v>
      </c>
      <c r="AF72" s="106">
        <f t="shared" si="55"/>
        <v>7.0150940035770262</v>
      </c>
      <c r="AG72" s="106">
        <f t="shared" si="55"/>
        <v>6.8134632267791453</v>
      </c>
      <c r="AH72" s="106">
        <f t="shared" si="55"/>
        <v>6.8397198901428471</v>
      </c>
      <c r="AI72" s="106">
        <f t="shared" si="55"/>
        <v>7.6729399979321933</v>
      </c>
      <c r="AJ72" s="106">
        <f t="shared" si="55"/>
        <v>7.2439934110576987</v>
      </c>
      <c r="AK72" s="106">
        <f t="shared" ref="AK72:AN72" si="58">SUM(AK46,AK52,AK60,AK66)</f>
        <v>7.7828888926110498</v>
      </c>
      <c r="AL72" s="106">
        <f t="shared" si="58"/>
        <v>7.862143420463271</v>
      </c>
      <c r="AM72" s="106">
        <f t="shared" si="58"/>
        <v>7.1437186717023051</v>
      </c>
      <c r="AN72" s="106">
        <f t="shared" si="58"/>
        <v>7.7921259019068048</v>
      </c>
    </row>
    <row r="73" spans="1:40" x14ac:dyDescent="0.25">
      <c r="A73" t="s">
        <v>116</v>
      </c>
      <c r="E73" s="106">
        <f t="shared" si="57"/>
        <v>0</v>
      </c>
      <c r="F73" s="106">
        <f t="shared" si="55"/>
        <v>0</v>
      </c>
      <c r="G73" s="106">
        <f t="shared" si="55"/>
        <v>0</v>
      </c>
      <c r="H73" s="106">
        <f t="shared" si="55"/>
        <v>15.06</v>
      </c>
      <c r="I73" s="106">
        <f t="shared" si="55"/>
        <v>15.677200000000003</v>
      </c>
      <c r="J73" s="106">
        <f t="shared" si="55"/>
        <v>15.374416000000002</v>
      </c>
      <c r="K73" s="106">
        <f t="shared" si="55"/>
        <v>16.408739520000001</v>
      </c>
      <c r="L73" s="106">
        <f t="shared" si="55"/>
        <v>16.352381808000004</v>
      </c>
      <c r="M73" s="106">
        <f t="shared" si="55"/>
        <v>17.131779900608002</v>
      </c>
      <c r="N73" s="106">
        <f t="shared" si="55"/>
        <v>17.964515473667841</v>
      </c>
      <c r="O73" s="106">
        <f t="shared" si="55"/>
        <v>16.463282513349942</v>
      </c>
      <c r="P73" s="106">
        <f t="shared" si="55"/>
        <v>18.527345596819597</v>
      </c>
      <c r="Q73" s="106">
        <f t="shared" si="55"/>
        <v>18.470773714106041</v>
      </c>
      <c r="R73" s="106">
        <f t="shared" si="55"/>
        <v>20.064854092692084</v>
      </c>
      <c r="S73" s="106">
        <f t="shared" si="55"/>
        <v>19.479702173245432</v>
      </c>
      <c r="T73" s="106">
        <f t="shared" si="55"/>
        <v>21.94899980968178</v>
      </c>
      <c r="U73" s="106">
        <f t="shared" si="55"/>
        <v>22.557433055888616</v>
      </c>
      <c r="V73" s="106">
        <f t="shared" si="55"/>
        <v>22.166587345829672</v>
      </c>
      <c r="W73" s="106">
        <f t="shared" si="55"/>
        <v>24.240690368002319</v>
      </c>
      <c r="X73" s="106">
        <f t="shared" si="55"/>
        <v>23.397724682193562</v>
      </c>
      <c r="Y73" s="106">
        <f t="shared" si="55"/>
        <v>24.718205856905389</v>
      </c>
      <c r="Z73" s="106">
        <f t="shared" si="55"/>
        <v>26.398502799591906</v>
      </c>
      <c r="AA73" s="106">
        <f t="shared" si="55"/>
        <v>23.983414450492777</v>
      </c>
      <c r="AB73" s="106">
        <f t="shared" si="55"/>
        <v>26.814432886752751</v>
      </c>
      <c r="AC73" s="106">
        <f t="shared" si="55"/>
        <v>27.432644346006796</v>
      </c>
      <c r="AD73" s="106">
        <f t="shared" si="55"/>
        <v>28.969190226308687</v>
      </c>
      <c r="AE73" s="106">
        <f t="shared" si="55"/>
        <v>28.350153496346643</v>
      </c>
      <c r="AF73" s="106">
        <f t="shared" si="55"/>
        <v>32.955937886540262</v>
      </c>
      <c r="AG73" s="106">
        <f t="shared" si="55"/>
        <v>32.3038654006168</v>
      </c>
      <c r="AH73" s="106">
        <f t="shared" si="55"/>
        <v>32.36461068810415</v>
      </c>
      <c r="AI73" s="106">
        <f t="shared" si="55"/>
        <v>35.980514598267852</v>
      </c>
      <c r="AJ73" s="106">
        <f t="shared" si="55"/>
        <v>34.236324809649432</v>
      </c>
      <c r="AK73" s="106">
        <f t="shared" ref="AK73:AN73" si="59">SUM(AK47,AK53,AK61,AK67)</f>
        <v>36.681881963055247</v>
      </c>
      <c r="AL73" s="106">
        <f t="shared" si="59"/>
        <v>37.078154602316353</v>
      </c>
      <c r="AM73" s="106">
        <f t="shared" si="59"/>
        <v>33.734093358511529</v>
      </c>
      <c r="AN73" s="106">
        <f t="shared" si="59"/>
        <v>36.976129509534026</v>
      </c>
    </row>
    <row r="74" spans="1:40" s="116" customFormat="1" ht="15.75" thickBot="1" x14ac:dyDescent="0.3">
      <c r="A74" s="113" t="s">
        <v>117</v>
      </c>
      <c r="B74" s="114"/>
      <c r="C74" s="114"/>
      <c r="D74" s="114"/>
      <c r="E74" s="115">
        <f>SUM(E71:E73)</f>
        <v>0</v>
      </c>
      <c r="F74" s="115">
        <f t="shared" ref="F74:AN74" si="60">SUM(F71:F73)</f>
        <v>0</v>
      </c>
      <c r="G74" s="115">
        <f t="shared" si="60"/>
        <v>0</v>
      </c>
      <c r="H74" s="115">
        <f t="shared" si="60"/>
        <v>24.564</v>
      </c>
      <c r="I74" s="115">
        <f t="shared" si="60"/>
        <v>25.861520000000002</v>
      </c>
      <c r="J74" s="115">
        <f t="shared" si="60"/>
        <v>25.145014400000001</v>
      </c>
      <c r="K74" s="115">
        <f t="shared" si="60"/>
        <v>26.961409728000003</v>
      </c>
      <c r="L74" s="115">
        <f t="shared" si="60"/>
        <v>26.930521722240005</v>
      </c>
      <c r="M74" s="115">
        <f t="shared" si="60"/>
        <v>28.032024564928005</v>
      </c>
      <c r="N74" s="115">
        <f t="shared" si="60"/>
        <v>29.738006603233025</v>
      </c>
      <c r="O74" s="115">
        <f t="shared" si="60"/>
        <v>27.102962445431054</v>
      </c>
      <c r="P74" s="115">
        <f t="shared" si="60"/>
        <v>30.374821718426407</v>
      </c>
      <c r="Q74" s="115">
        <f t="shared" si="60"/>
        <v>30.348230574302988</v>
      </c>
      <c r="R74" s="115">
        <f t="shared" si="60"/>
        <v>33.308872262414816</v>
      </c>
      <c r="S74" s="115">
        <f t="shared" si="60"/>
        <v>32.04905214575944</v>
      </c>
      <c r="T74" s="115">
        <f t="shared" si="60"/>
        <v>36.287523504396844</v>
      </c>
      <c r="U74" s="115">
        <f t="shared" si="60"/>
        <v>37.319500204865776</v>
      </c>
      <c r="V74" s="115">
        <f t="shared" si="60"/>
        <v>36.544286095336602</v>
      </c>
      <c r="W74" s="115">
        <f t="shared" si="60"/>
        <v>40.385125841310192</v>
      </c>
      <c r="X74" s="115">
        <f t="shared" si="60"/>
        <v>38.627165421594412</v>
      </c>
      <c r="Y74" s="115">
        <f t="shared" si="60"/>
        <v>40.770847008448726</v>
      </c>
      <c r="Z74" s="115">
        <f t="shared" si="60"/>
        <v>44.075192399896963</v>
      </c>
      <c r="AA74" s="115">
        <f t="shared" si="60"/>
        <v>39.814516265415001</v>
      </c>
      <c r="AB74" s="115">
        <f t="shared" si="60"/>
        <v>44.320410417118623</v>
      </c>
      <c r="AC74" s="115">
        <f t="shared" si="60"/>
        <v>45.721807652920859</v>
      </c>
      <c r="AD74" s="115">
        <f t="shared" si="60"/>
        <v>48.234366733443167</v>
      </c>
      <c r="AE74" s="115">
        <f t="shared" si="60"/>
        <v>47.033336959358323</v>
      </c>
      <c r="AF74" s="115">
        <f t="shared" si="60"/>
        <v>55.262923446574973</v>
      </c>
      <c r="AG74" s="115">
        <f t="shared" si="60"/>
        <v>53.581621778365502</v>
      </c>
      <c r="AH74" s="115">
        <f t="shared" si="60"/>
        <v>53.808171259863769</v>
      </c>
      <c r="AI74" s="115">
        <f t="shared" si="60"/>
        <v>60.465989646241255</v>
      </c>
      <c r="AJ74" s="115">
        <f t="shared" si="60"/>
        <v>57.001582192945875</v>
      </c>
      <c r="AK74" s="115">
        <f t="shared" si="60"/>
        <v>61.302423881625124</v>
      </c>
      <c r="AL74" s="115">
        <f t="shared" si="60"/>
        <v>61.919230859257631</v>
      </c>
      <c r="AM74" s="115">
        <f t="shared" si="60"/>
        <v>56.24676270585708</v>
      </c>
      <c r="AN74" s="115">
        <f t="shared" si="60"/>
        <v>61.29306245397035</v>
      </c>
    </row>
    <row r="75" spans="1:40" ht="15.75" thickTop="1" x14ac:dyDescent="0.25"/>
    <row r="77" spans="1:40" s="111" customFormat="1" x14ac:dyDescent="0.25">
      <c r="A77" s="72" t="s">
        <v>120</v>
      </c>
      <c r="B77" s="72"/>
      <c r="C77" s="72"/>
      <c r="D77" s="7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C907-6646-4A95-9AC0-A0B0431F6BA0}">
  <dimension ref="A1:AN33"/>
  <sheetViews>
    <sheetView workbookViewId="0">
      <pane xSplit="3" topLeftCell="AF1" activePane="topRight" state="frozen"/>
      <selection pane="topRight" activeCell="AH5" sqref="AH5"/>
    </sheetView>
  </sheetViews>
  <sheetFormatPr defaultRowHeight="15" x14ac:dyDescent="0.25"/>
  <cols>
    <col min="1" max="1" width="40.5703125" customWidth="1"/>
    <col min="5" max="5" width="9.42578125" style="106" bestFit="1" customWidth="1"/>
    <col min="6" max="6" width="10" style="106" bestFit="1" customWidth="1"/>
    <col min="7" max="7" width="9.42578125" style="106" bestFit="1" customWidth="1"/>
    <col min="8" max="19" width="11.5703125" style="106" bestFit="1" customWidth="1"/>
    <col min="20" max="40" width="12.5703125" style="106" bestFit="1" customWidth="1"/>
    <col min="41" max="41" width="9.7109375" style="93" bestFit="1" customWidth="1"/>
    <col min="42" max="16384" width="9.140625" style="93"/>
  </cols>
  <sheetData>
    <row r="1" spans="1:40" customFormat="1" x14ac:dyDescent="0.25">
      <c r="A1" s="91" t="s">
        <v>105</v>
      </c>
      <c r="B1" s="92" t="str">
        <f>Converter!C1</f>
        <v>Lakhs</v>
      </c>
    </row>
    <row r="2" spans="1:40" customFormat="1" x14ac:dyDescent="0.25">
      <c r="E2" s="94">
        <v>1</v>
      </c>
      <c r="F2" s="94">
        <v>2</v>
      </c>
      <c r="G2" s="94">
        <v>3</v>
      </c>
      <c r="H2" s="94">
        <v>4</v>
      </c>
      <c r="I2" s="94">
        <v>5</v>
      </c>
      <c r="J2" s="94">
        <v>6</v>
      </c>
      <c r="K2" s="94">
        <v>7</v>
      </c>
      <c r="L2" s="94">
        <v>8</v>
      </c>
      <c r="M2" s="94">
        <v>9</v>
      </c>
      <c r="N2" s="94">
        <v>10</v>
      </c>
      <c r="O2" s="94">
        <v>11</v>
      </c>
      <c r="P2" s="94">
        <v>12</v>
      </c>
      <c r="Q2" s="94">
        <v>13</v>
      </c>
      <c r="R2" s="94">
        <v>14</v>
      </c>
      <c r="S2" s="94">
        <v>15</v>
      </c>
      <c r="T2" s="94">
        <v>16</v>
      </c>
      <c r="U2" s="94">
        <v>17</v>
      </c>
      <c r="V2" s="94">
        <v>18</v>
      </c>
      <c r="W2" s="94">
        <v>19</v>
      </c>
      <c r="X2" s="94">
        <v>20</v>
      </c>
      <c r="Y2" s="94">
        <v>21</v>
      </c>
      <c r="Z2" s="94">
        <v>22</v>
      </c>
      <c r="AA2" s="94">
        <v>23</v>
      </c>
      <c r="AB2" s="94">
        <v>24</v>
      </c>
      <c r="AC2" s="94">
        <v>25</v>
      </c>
      <c r="AD2" s="94">
        <v>26</v>
      </c>
      <c r="AE2" s="94">
        <v>27</v>
      </c>
      <c r="AF2" s="94">
        <v>28</v>
      </c>
      <c r="AG2" s="94">
        <v>29</v>
      </c>
      <c r="AH2" s="94">
        <v>30</v>
      </c>
      <c r="AI2" s="94">
        <v>31</v>
      </c>
      <c r="AJ2" s="94">
        <v>32</v>
      </c>
      <c r="AK2" s="94">
        <v>33</v>
      </c>
      <c r="AL2" s="94">
        <v>34</v>
      </c>
      <c r="AM2" s="94">
        <v>35</v>
      </c>
      <c r="AN2" s="94">
        <v>36</v>
      </c>
    </row>
    <row r="3" spans="1:40" customFormat="1" x14ac:dyDescent="0.25">
      <c r="E3" s="95">
        <f>EOMONTH(Assumptions!G3,0)</f>
        <v>43951</v>
      </c>
      <c r="F3" s="95">
        <f>EOMONTH(E3,1)</f>
        <v>43982</v>
      </c>
      <c r="G3" s="95">
        <f>EOMONTH(E3,1+1)</f>
        <v>44012</v>
      </c>
      <c r="H3" s="95">
        <f>EOMONTH(F3,1+1)</f>
        <v>44043</v>
      </c>
      <c r="I3" s="95">
        <f>EOMONTH(G3,1+1)</f>
        <v>44074</v>
      </c>
      <c r="J3" s="95">
        <f t="shared" ref="J3:AN3" si="0">EOMONTH(H3,1+1)</f>
        <v>44104</v>
      </c>
      <c r="K3" s="95">
        <f t="shared" si="0"/>
        <v>44135</v>
      </c>
      <c r="L3" s="95">
        <f t="shared" si="0"/>
        <v>44165</v>
      </c>
      <c r="M3" s="95">
        <f t="shared" si="0"/>
        <v>44196</v>
      </c>
      <c r="N3" s="95">
        <f t="shared" si="0"/>
        <v>44227</v>
      </c>
      <c r="O3" s="95">
        <f t="shared" si="0"/>
        <v>44255</v>
      </c>
      <c r="P3" s="95">
        <f t="shared" si="0"/>
        <v>44286</v>
      </c>
      <c r="Q3" s="95">
        <f t="shared" si="0"/>
        <v>44316</v>
      </c>
      <c r="R3" s="95">
        <f t="shared" si="0"/>
        <v>44347</v>
      </c>
      <c r="S3" s="95">
        <f t="shared" si="0"/>
        <v>44377</v>
      </c>
      <c r="T3" s="95">
        <f t="shared" si="0"/>
        <v>44408</v>
      </c>
      <c r="U3" s="95">
        <f t="shared" si="0"/>
        <v>44439</v>
      </c>
      <c r="V3" s="95">
        <f t="shared" si="0"/>
        <v>44469</v>
      </c>
      <c r="W3" s="95">
        <f t="shared" si="0"/>
        <v>44500</v>
      </c>
      <c r="X3" s="95">
        <f t="shared" si="0"/>
        <v>44530</v>
      </c>
      <c r="Y3" s="95">
        <f t="shared" si="0"/>
        <v>44561</v>
      </c>
      <c r="Z3" s="95">
        <f t="shared" si="0"/>
        <v>44592</v>
      </c>
      <c r="AA3" s="95">
        <f t="shared" si="0"/>
        <v>44620</v>
      </c>
      <c r="AB3" s="95">
        <f t="shared" si="0"/>
        <v>44651</v>
      </c>
      <c r="AC3" s="95">
        <f t="shared" si="0"/>
        <v>44681</v>
      </c>
      <c r="AD3" s="95">
        <f t="shared" si="0"/>
        <v>44712</v>
      </c>
      <c r="AE3" s="95">
        <f t="shared" si="0"/>
        <v>44742</v>
      </c>
      <c r="AF3" s="95">
        <f t="shared" si="0"/>
        <v>44773</v>
      </c>
      <c r="AG3" s="95">
        <f t="shared" si="0"/>
        <v>44804</v>
      </c>
      <c r="AH3" s="95">
        <f t="shared" si="0"/>
        <v>44834</v>
      </c>
      <c r="AI3" s="95">
        <f t="shared" si="0"/>
        <v>44865</v>
      </c>
      <c r="AJ3" s="95">
        <f t="shared" si="0"/>
        <v>44895</v>
      </c>
      <c r="AK3" s="95">
        <f t="shared" si="0"/>
        <v>44926</v>
      </c>
      <c r="AL3" s="95">
        <f t="shared" si="0"/>
        <v>44957</v>
      </c>
      <c r="AM3" s="95">
        <f t="shared" si="0"/>
        <v>44985</v>
      </c>
      <c r="AN3" s="95">
        <f t="shared" si="0"/>
        <v>45016</v>
      </c>
    </row>
    <row r="4" spans="1:40" x14ac:dyDescent="0.25">
      <c r="A4" s="120" t="s">
        <v>4</v>
      </c>
      <c r="E4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</row>
    <row r="5" spans="1:40" x14ac:dyDescent="0.25">
      <c r="A5" t="str">
        <f>'Monthly Revenue'!A71</f>
        <v xml:space="preserve">  Alcoholic Beverages</v>
      </c>
      <c r="E5" s="109">
        <f>'Monthly Revenue'!E71</f>
        <v>0</v>
      </c>
      <c r="F5" s="109">
        <f>'Monthly Revenue'!F71</f>
        <v>0</v>
      </c>
      <c r="G5" s="109">
        <f>'Monthly Revenue'!G71</f>
        <v>0</v>
      </c>
      <c r="H5" s="109">
        <f>'Monthly Revenue'!H71</f>
        <v>6.3719999999999999</v>
      </c>
      <c r="I5" s="109">
        <f>'Monthly Revenue'!I71</f>
        <v>6.8928800000000008</v>
      </c>
      <c r="J5" s="109">
        <f>'Monthly Revenue'!J71</f>
        <v>6.5659232000000003</v>
      </c>
      <c r="K5" s="109">
        <f>'Monthly Revenue'!K71</f>
        <v>7.1190656640000007</v>
      </c>
      <c r="L5" s="109">
        <f>'Monthly Revenue'!L71</f>
        <v>7.1497326470400013</v>
      </c>
      <c r="M5" s="109">
        <f>'Monthly Revenue'!M71</f>
        <v>7.3278903359104017</v>
      </c>
      <c r="N5" s="109">
        <f>'Monthly Revenue'!N71</f>
        <v>7.9907901820572169</v>
      </c>
      <c r="O5" s="109">
        <f>'Monthly Revenue'!O71</f>
        <v>7.1891116159028225</v>
      </c>
      <c r="P5" s="109">
        <f>'Monthly Revenue'!P71</f>
        <v>7.9777787161942584</v>
      </c>
      <c r="Q5" s="109">
        <f>'Monthly Revenue'!Q71</f>
        <v>8.0125046998851595</v>
      </c>
      <c r="R5" s="109">
        <f>'Monthly Revenue'!R71</f>
        <v>9.0090107084465636</v>
      </c>
      <c r="S5" s="109">
        <f>'Monthly Revenue'!S71</f>
        <v>8.4886750511071103</v>
      </c>
      <c r="T5" s="109">
        <f>'Monthly Revenue'!T71</f>
        <v>9.7217774157967387</v>
      </c>
      <c r="U5" s="109">
        <f>'Monthly Revenue'!U71</f>
        <v>10.014556368138193</v>
      </c>
      <c r="V5" s="109">
        <f>'Monthly Revenue'!V71</f>
        <v>9.7261900479430405</v>
      </c>
      <c r="W5" s="109">
        <f>'Monthly Revenue'!W71</f>
        <v>11.012648797590071</v>
      </c>
      <c r="X5" s="109">
        <f>'Monthly Revenue'!X71</f>
        <v>10.313900166000515</v>
      </c>
      <c r="Y5" s="109">
        <f>'Monthly Revenue'!Y71</f>
        <v>10.863564517722164</v>
      </c>
      <c r="Z5" s="109">
        <f>'Monthly Revenue'!Z71</f>
        <v>12.077922939214561</v>
      </c>
      <c r="AA5" s="109">
        <f>'Monthly Revenue'!AA71</f>
        <v>10.768955928648468</v>
      </c>
      <c r="AB5" s="109">
        <f>'Monthly Revenue'!AB71</f>
        <v>11.867009436993111</v>
      </c>
      <c r="AC5" s="109">
        <f>'Monthly Revenue'!AC71</f>
        <v>12.479619063966714</v>
      </c>
      <c r="AD5" s="109">
        <f>'Monthly Revenue'!AD71</f>
        <v>13.135402473176917</v>
      </c>
      <c r="AE5" s="109">
        <f>'Monthly Revenue'!AE71</f>
        <v>12.702598605303542</v>
      </c>
      <c r="AF5" s="109">
        <f>'Monthly Revenue'!AF71</f>
        <v>15.291891556457688</v>
      </c>
      <c r="AG5" s="109">
        <f>'Monthly Revenue'!AG71</f>
        <v>14.464293150969558</v>
      </c>
      <c r="AH5" s="109">
        <f>'Monthly Revenue'!AH71</f>
        <v>14.603840681616774</v>
      </c>
      <c r="AI5" s="109">
        <f>'Monthly Revenue'!AI71</f>
        <v>16.812535050041205</v>
      </c>
      <c r="AJ5" s="109">
        <f>'Monthly Revenue'!AJ71</f>
        <v>15.521263972238746</v>
      </c>
      <c r="AK5" s="109">
        <f>'Monthly Revenue'!AK71</f>
        <v>16.837653025958829</v>
      </c>
      <c r="AL5" s="109">
        <f>'Monthly Revenue'!AL71</f>
        <v>16.978932836478005</v>
      </c>
      <c r="AM5" s="109">
        <f>'Monthly Revenue'!AM71</f>
        <v>15.368950675643241</v>
      </c>
      <c r="AN5" s="109">
        <f>'Monthly Revenue'!AN71</f>
        <v>16.52480704252952</v>
      </c>
    </row>
    <row r="6" spans="1:40" x14ac:dyDescent="0.25">
      <c r="A6" t="str">
        <f>'Monthly Revenue'!A72</f>
        <v xml:space="preserve">  Non Alcoholic Beverages</v>
      </c>
      <c r="E6" s="109">
        <f>'Monthly Revenue'!E72</f>
        <v>0</v>
      </c>
      <c r="F6" s="109">
        <f>'Monthly Revenue'!F72</f>
        <v>0</v>
      </c>
      <c r="G6" s="109">
        <f>'Monthly Revenue'!G72</f>
        <v>0</v>
      </c>
      <c r="H6" s="109">
        <f>'Monthly Revenue'!H72</f>
        <v>3.1320000000000001</v>
      </c>
      <c r="I6" s="109">
        <f>'Monthly Revenue'!I72</f>
        <v>3.2914399999999997</v>
      </c>
      <c r="J6" s="109">
        <f>'Monthly Revenue'!J72</f>
        <v>3.2046752000000005</v>
      </c>
      <c r="K6" s="109">
        <f>'Monthly Revenue'!K72</f>
        <v>3.4336045440000005</v>
      </c>
      <c r="L6" s="109">
        <f>'Monthly Revenue'!L72</f>
        <v>3.4284072672000003</v>
      </c>
      <c r="M6" s="109">
        <f>'Monthly Revenue'!M72</f>
        <v>3.5723543284096007</v>
      </c>
      <c r="N6" s="109">
        <f>'Monthly Revenue'!N72</f>
        <v>3.7827009475079687</v>
      </c>
      <c r="O6" s="109">
        <f>'Monthly Revenue'!O72</f>
        <v>3.450568316178289</v>
      </c>
      <c r="P6" s="109">
        <f>'Monthly Revenue'!P72</f>
        <v>3.8696974054125528</v>
      </c>
      <c r="Q6" s="109">
        <f>'Monthly Revenue'!Q72</f>
        <v>3.8649521603117858</v>
      </c>
      <c r="R6" s="109">
        <f>'Monthly Revenue'!R72</f>
        <v>4.2350074612761688</v>
      </c>
      <c r="S6" s="109">
        <f>'Monthly Revenue'!S72</f>
        <v>4.0806749214068958</v>
      </c>
      <c r="T6" s="109">
        <f>'Monthly Revenue'!T72</f>
        <v>4.616746278918324</v>
      </c>
      <c r="U6" s="109">
        <f>'Monthly Revenue'!U72</f>
        <v>4.7475107808389714</v>
      </c>
      <c r="V6" s="109">
        <f>'Monthly Revenue'!V72</f>
        <v>4.6515087015638876</v>
      </c>
      <c r="W6" s="109">
        <f>'Monthly Revenue'!W72</f>
        <v>5.1317866757178034</v>
      </c>
      <c r="X6" s="109">
        <f>'Monthly Revenue'!X72</f>
        <v>4.9155405734003388</v>
      </c>
      <c r="Y6" s="109">
        <f>'Monthly Revenue'!Y72</f>
        <v>5.1890766338211698</v>
      </c>
      <c r="Z6" s="109">
        <f>'Monthly Revenue'!Z72</f>
        <v>5.5987666610905</v>
      </c>
      <c r="AA6" s="109">
        <f>'Monthly Revenue'!AA72</f>
        <v>5.0621458862737576</v>
      </c>
      <c r="AB6" s="109">
        <f>'Monthly Revenue'!AB72</f>
        <v>5.6389680933727613</v>
      </c>
      <c r="AC6" s="109">
        <f>'Monthly Revenue'!AC72</f>
        <v>5.8095442429473465</v>
      </c>
      <c r="AD6" s="109">
        <f>'Monthly Revenue'!AD72</f>
        <v>6.1297740339575641</v>
      </c>
      <c r="AE6" s="109">
        <f>'Monthly Revenue'!AE72</f>
        <v>5.9805848577081377</v>
      </c>
      <c r="AF6" s="109">
        <f>'Monthly Revenue'!AF72</f>
        <v>7.0150940035770262</v>
      </c>
      <c r="AG6" s="109">
        <f>'Monthly Revenue'!AG72</f>
        <v>6.8134632267791453</v>
      </c>
      <c r="AH6" s="109">
        <f>'Monthly Revenue'!AH72</f>
        <v>6.8397198901428471</v>
      </c>
      <c r="AI6" s="109">
        <f>'Monthly Revenue'!AI72</f>
        <v>7.6729399979321933</v>
      </c>
      <c r="AJ6" s="109">
        <f>'Monthly Revenue'!AJ72</f>
        <v>7.2439934110576987</v>
      </c>
      <c r="AK6" s="109">
        <f>'Monthly Revenue'!AK72</f>
        <v>7.7828888926110498</v>
      </c>
      <c r="AL6" s="109">
        <f>'Monthly Revenue'!AL72</f>
        <v>7.862143420463271</v>
      </c>
      <c r="AM6" s="109">
        <f>'Monthly Revenue'!AM72</f>
        <v>7.1437186717023051</v>
      </c>
      <c r="AN6" s="109">
        <f>'Monthly Revenue'!AN72</f>
        <v>7.7921259019068048</v>
      </c>
    </row>
    <row r="7" spans="1:40" x14ac:dyDescent="0.25">
      <c r="A7" t="str">
        <f>'Monthly Revenue'!A73</f>
        <v xml:space="preserve">  Food</v>
      </c>
      <c r="E7" s="109">
        <f>'Monthly Revenue'!E73</f>
        <v>0</v>
      </c>
      <c r="F7" s="109">
        <f>'Monthly Revenue'!F73</f>
        <v>0</v>
      </c>
      <c r="G7" s="109">
        <f>'Monthly Revenue'!G73</f>
        <v>0</v>
      </c>
      <c r="H7" s="109">
        <f>'Monthly Revenue'!H73</f>
        <v>15.06</v>
      </c>
      <c r="I7" s="109">
        <f>'Monthly Revenue'!I73</f>
        <v>15.677200000000003</v>
      </c>
      <c r="J7" s="109">
        <f>'Monthly Revenue'!J73</f>
        <v>15.374416000000002</v>
      </c>
      <c r="K7" s="109">
        <f>'Monthly Revenue'!K73</f>
        <v>16.408739520000001</v>
      </c>
      <c r="L7" s="109">
        <f>'Monthly Revenue'!L73</f>
        <v>16.352381808000004</v>
      </c>
      <c r="M7" s="109">
        <f>'Monthly Revenue'!M73</f>
        <v>17.131779900608002</v>
      </c>
      <c r="N7" s="109">
        <f>'Monthly Revenue'!N73</f>
        <v>17.964515473667841</v>
      </c>
      <c r="O7" s="109">
        <f>'Monthly Revenue'!O73</f>
        <v>16.463282513349942</v>
      </c>
      <c r="P7" s="109">
        <f>'Monthly Revenue'!P73</f>
        <v>18.527345596819597</v>
      </c>
      <c r="Q7" s="109">
        <f>'Monthly Revenue'!Q73</f>
        <v>18.470773714106041</v>
      </c>
      <c r="R7" s="109">
        <f>'Monthly Revenue'!R73</f>
        <v>20.064854092692084</v>
      </c>
      <c r="S7" s="109">
        <f>'Monthly Revenue'!S73</f>
        <v>19.479702173245432</v>
      </c>
      <c r="T7" s="109">
        <f>'Monthly Revenue'!T73</f>
        <v>21.94899980968178</v>
      </c>
      <c r="U7" s="109">
        <f>'Monthly Revenue'!U73</f>
        <v>22.557433055888616</v>
      </c>
      <c r="V7" s="109">
        <f>'Monthly Revenue'!V73</f>
        <v>22.166587345829672</v>
      </c>
      <c r="W7" s="109">
        <f>'Monthly Revenue'!W73</f>
        <v>24.240690368002319</v>
      </c>
      <c r="X7" s="109">
        <f>'Monthly Revenue'!X73</f>
        <v>23.397724682193562</v>
      </c>
      <c r="Y7" s="109">
        <f>'Monthly Revenue'!Y73</f>
        <v>24.718205856905389</v>
      </c>
      <c r="Z7" s="109">
        <f>'Monthly Revenue'!Z73</f>
        <v>26.398502799591906</v>
      </c>
      <c r="AA7" s="109">
        <f>'Monthly Revenue'!AA73</f>
        <v>23.983414450492777</v>
      </c>
      <c r="AB7" s="109">
        <f>'Monthly Revenue'!AB73</f>
        <v>26.814432886752751</v>
      </c>
      <c r="AC7" s="109">
        <f>'Monthly Revenue'!AC73</f>
        <v>27.432644346006796</v>
      </c>
      <c r="AD7" s="109">
        <f>'Monthly Revenue'!AD73</f>
        <v>28.969190226308687</v>
      </c>
      <c r="AE7" s="109">
        <f>'Monthly Revenue'!AE73</f>
        <v>28.350153496346643</v>
      </c>
      <c r="AF7" s="109">
        <f>'Monthly Revenue'!AF73</f>
        <v>32.955937886540262</v>
      </c>
      <c r="AG7" s="109">
        <f>'Monthly Revenue'!AG73</f>
        <v>32.3038654006168</v>
      </c>
      <c r="AH7" s="109">
        <f>'Monthly Revenue'!AH73</f>
        <v>32.36461068810415</v>
      </c>
      <c r="AI7" s="109">
        <f>'Monthly Revenue'!AI73</f>
        <v>35.980514598267852</v>
      </c>
      <c r="AJ7" s="109">
        <f>'Monthly Revenue'!AJ73</f>
        <v>34.236324809649432</v>
      </c>
      <c r="AK7" s="109">
        <f>'Monthly Revenue'!AK73</f>
        <v>36.681881963055247</v>
      </c>
      <c r="AL7" s="109">
        <f>'Monthly Revenue'!AL73</f>
        <v>37.078154602316353</v>
      </c>
      <c r="AM7" s="109">
        <f>'Monthly Revenue'!AM73</f>
        <v>33.734093358511529</v>
      </c>
      <c r="AN7" s="109">
        <f>'Monthly Revenue'!AN73</f>
        <v>36.976129509534026</v>
      </c>
    </row>
    <row r="8" spans="1:40" s="100" customFormat="1" x14ac:dyDescent="0.25">
      <c r="A8" s="117" t="s">
        <v>39</v>
      </c>
      <c r="B8" s="117"/>
      <c r="C8" s="117"/>
      <c r="D8" s="117"/>
      <c r="E8" s="119">
        <f>SUM(E5:E7)</f>
        <v>0</v>
      </c>
      <c r="F8" s="119">
        <f t="shared" ref="F8:AN8" si="1">SUM(F5:F7)</f>
        <v>0</v>
      </c>
      <c r="G8" s="119">
        <f t="shared" si="1"/>
        <v>0</v>
      </c>
      <c r="H8" s="119">
        <f t="shared" si="1"/>
        <v>24.564</v>
      </c>
      <c r="I8" s="119">
        <f t="shared" si="1"/>
        <v>25.861520000000002</v>
      </c>
      <c r="J8" s="119">
        <f t="shared" si="1"/>
        <v>25.145014400000001</v>
      </c>
      <c r="K8" s="119">
        <f t="shared" si="1"/>
        <v>26.961409728000003</v>
      </c>
      <c r="L8" s="119">
        <f t="shared" si="1"/>
        <v>26.930521722240005</v>
      </c>
      <c r="M8" s="119">
        <f t="shared" si="1"/>
        <v>28.032024564928005</v>
      </c>
      <c r="N8" s="119">
        <f t="shared" si="1"/>
        <v>29.738006603233025</v>
      </c>
      <c r="O8" s="119">
        <f t="shared" si="1"/>
        <v>27.102962445431054</v>
      </c>
      <c r="P8" s="119">
        <f t="shared" si="1"/>
        <v>30.374821718426407</v>
      </c>
      <c r="Q8" s="119">
        <f t="shared" si="1"/>
        <v>30.348230574302988</v>
      </c>
      <c r="R8" s="119">
        <f t="shared" si="1"/>
        <v>33.308872262414816</v>
      </c>
      <c r="S8" s="119">
        <f t="shared" si="1"/>
        <v>32.04905214575944</v>
      </c>
      <c r="T8" s="119">
        <f t="shared" si="1"/>
        <v>36.287523504396844</v>
      </c>
      <c r="U8" s="119">
        <f t="shared" si="1"/>
        <v>37.319500204865776</v>
      </c>
      <c r="V8" s="119">
        <f t="shared" si="1"/>
        <v>36.544286095336602</v>
      </c>
      <c r="W8" s="119">
        <f t="shared" si="1"/>
        <v>40.385125841310192</v>
      </c>
      <c r="X8" s="119">
        <f t="shared" si="1"/>
        <v>38.627165421594412</v>
      </c>
      <c r="Y8" s="119">
        <f t="shared" si="1"/>
        <v>40.770847008448726</v>
      </c>
      <c r="Z8" s="119">
        <f t="shared" si="1"/>
        <v>44.075192399896963</v>
      </c>
      <c r="AA8" s="119">
        <f t="shared" si="1"/>
        <v>39.814516265415001</v>
      </c>
      <c r="AB8" s="119">
        <f t="shared" si="1"/>
        <v>44.320410417118623</v>
      </c>
      <c r="AC8" s="119">
        <f t="shared" si="1"/>
        <v>45.721807652920859</v>
      </c>
      <c r="AD8" s="119">
        <f t="shared" si="1"/>
        <v>48.234366733443167</v>
      </c>
      <c r="AE8" s="119">
        <f t="shared" si="1"/>
        <v>47.033336959358323</v>
      </c>
      <c r="AF8" s="119">
        <f t="shared" si="1"/>
        <v>55.262923446574973</v>
      </c>
      <c r="AG8" s="119">
        <f t="shared" si="1"/>
        <v>53.581621778365502</v>
      </c>
      <c r="AH8" s="119">
        <f t="shared" si="1"/>
        <v>53.808171259863769</v>
      </c>
      <c r="AI8" s="119">
        <f t="shared" si="1"/>
        <v>60.465989646241255</v>
      </c>
      <c r="AJ8" s="119">
        <f t="shared" si="1"/>
        <v>57.001582192945875</v>
      </c>
      <c r="AK8" s="119">
        <f t="shared" si="1"/>
        <v>61.302423881625124</v>
      </c>
      <c r="AL8" s="119">
        <f t="shared" si="1"/>
        <v>61.919230859257631</v>
      </c>
      <c r="AM8" s="119">
        <f t="shared" si="1"/>
        <v>56.24676270585708</v>
      </c>
      <c r="AN8" s="119">
        <f t="shared" si="1"/>
        <v>61.29306245397035</v>
      </c>
    </row>
    <row r="9" spans="1:40" x14ac:dyDescent="0.25"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</row>
    <row r="10" spans="1:40" x14ac:dyDescent="0.25">
      <c r="A10" s="9" t="s">
        <v>121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</row>
    <row r="11" spans="1:40" x14ac:dyDescent="0.25">
      <c r="A11" t="str">
        <f>Assumptions!A25</f>
        <v>Alcoholic Beverage cost (% of revenue)</v>
      </c>
      <c r="E11" s="109">
        <f>E5*Assumptions!$G25</f>
        <v>0</v>
      </c>
      <c r="F11" s="109">
        <f>F5*Assumptions!$G25</f>
        <v>0</v>
      </c>
      <c r="G11" s="109">
        <f>G5*Assumptions!$G25</f>
        <v>0</v>
      </c>
      <c r="H11" s="109">
        <f>H5*Assumptions!$G25</f>
        <v>2.2302</v>
      </c>
      <c r="I11" s="109">
        <f>I5*Assumptions!$G25</f>
        <v>2.4125080000000003</v>
      </c>
      <c r="J11" s="109">
        <f>J5*Assumptions!$G25</f>
        <v>2.2980731199999997</v>
      </c>
      <c r="K11" s="109">
        <f>K5*Assumptions!$G25</f>
        <v>2.4916729823999999</v>
      </c>
      <c r="L11" s="109">
        <f>L5*Assumptions!$G25</f>
        <v>2.5024064264640002</v>
      </c>
      <c r="M11" s="109">
        <f>M5*Assumptions!$G25</f>
        <v>2.5647616175686405</v>
      </c>
      <c r="N11" s="109">
        <f>N5*Assumptions!$G25</f>
        <v>2.7967765637200257</v>
      </c>
      <c r="O11" s="109">
        <f>O5*Assumptions!$G25</f>
        <v>2.5161890655659875</v>
      </c>
      <c r="P11" s="109">
        <f>P5*Assumptions!$G25</f>
        <v>2.7922225506679901</v>
      </c>
      <c r="Q11" s="109">
        <f>Q5*Assumptions!$G25</f>
        <v>2.8043766449598055</v>
      </c>
      <c r="R11" s="109">
        <f>R5*Assumptions!$G25</f>
        <v>3.153153747956297</v>
      </c>
      <c r="S11" s="109">
        <f>S5*Assumptions!$G25</f>
        <v>2.9710362678874884</v>
      </c>
      <c r="T11" s="109">
        <f>T5*Assumptions!$G25</f>
        <v>3.4026220955288582</v>
      </c>
      <c r="U11" s="109">
        <f>U5*Assumptions!$G25</f>
        <v>3.5050947288483671</v>
      </c>
      <c r="V11" s="109">
        <f>V5*Assumptions!$G25</f>
        <v>3.4041665167800641</v>
      </c>
      <c r="W11" s="109">
        <f>W5*Assumptions!$G25</f>
        <v>3.8544270791565247</v>
      </c>
      <c r="X11" s="109">
        <f>X5*Assumptions!$G25</f>
        <v>3.6098650581001799</v>
      </c>
      <c r="Y11" s="109">
        <f>Y5*Assumptions!$G25</f>
        <v>3.802247581202757</v>
      </c>
      <c r="Z11" s="109">
        <f>Z5*Assumptions!$G25</f>
        <v>4.2272730287250964</v>
      </c>
      <c r="AA11" s="109">
        <f>AA5*Assumptions!$G25</f>
        <v>3.7691345750269636</v>
      </c>
      <c r="AB11" s="109">
        <f>AB5*Assumptions!$G25</f>
        <v>4.1534533029475886</v>
      </c>
      <c r="AC11" s="109">
        <f>AC5*Assumptions!$G25</f>
        <v>4.3678666723883497</v>
      </c>
      <c r="AD11" s="109">
        <f>AD5*Assumptions!$G25</f>
        <v>4.5973908656119207</v>
      </c>
      <c r="AE11" s="109">
        <f>AE5*Assumptions!$G25</f>
        <v>4.4459095118562395</v>
      </c>
      <c r="AF11" s="109">
        <f>AF5*Assumptions!$G25</f>
        <v>5.352162044760191</v>
      </c>
      <c r="AG11" s="109">
        <f>AG5*Assumptions!$G25</f>
        <v>5.0625026028393449</v>
      </c>
      <c r="AH11" s="109">
        <f>AH5*Assumptions!$G25</f>
        <v>5.1113442385658701</v>
      </c>
      <c r="AI11" s="109">
        <f>AI5*Assumptions!$G25</f>
        <v>5.8843872675144215</v>
      </c>
      <c r="AJ11" s="109">
        <f>AJ5*Assumptions!$G25</f>
        <v>5.432442390283561</v>
      </c>
      <c r="AK11" s="109">
        <f>AK5*Assumptions!$G25</f>
        <v>5.8931785590855901</v>
      </c>
      <c r="AL11" s="109">
        <f>AL5*Assumptions!$G25</f>
        <v>5.9426264927673014</v>
      </c>
      <c r="AM11" s="109">
        <f>AM5*Assumptions!$G25</f>
        <v>5.3791327364751336</v>
      </c>
      <c r="AN11" s="109">
        <f>AN5*Assumptions!$G25</f>
        <v>5.7836824648853318</v>
      </c>
    </row>
    <row r="12" spans="1:40" x14ac:dyDescent="0.25">
      <c r="A12" t="str">
        <f>Assumptions!A26</f>
        <v>Non Alcoholic Beverages (% of revenue)</v>
      </c>
      <c r="E12" s="109">
        <f>E6*Assumptions!$G26</f>
        <v>0</v>
      </c>
      <c r="F12" s="109">
        <f>F6*Assumptions!$G26</f>
        <v>0</v>
      </c>
      <c r="G12" s="109">
        <f>G6*Assumptions!$G26</f>
        <v>0</v>
      </c>
      <c r="H12" s="109">
        <f>H6*Assumptions!$G26</f>
        <v>1.2528000000000001</v>
      </c>
      <c r="I12" s="109">
        <f>I6*Assumptions!$G26</f>
        <v>1.316576</v>
      </c>
      <c r="J12" s="109">
        <f>J6*Assumptions!$G26</f>
        <v>1.2818700800000002</v>
      </c>
      <c r="K12" s="109">
        <f>K6*Assumptions!$G26</f>
        <v>1.3734418176000003</v>
      </c>
      <c r="L12" s="109">
        <f>L6*Assumptions!$G26</f>
        <v>1.3713629068800002</v>
      </c>
      <c r="M12" s="109">
        <f>M6*Assumptions!$G26</f>
        <v>1.4289417313638404</v>
      </c>
      <c r="N12" s="109">
        <f>N6*Assumptions!$G26</f>
        <v>1.5130803790031875</v>
      </c>
      <c r="O12" s="109">
        <f>O6*Assumptions!$G26</f>
        <v>1.3802273264713156</v>
      </c>
      <c r="P12" s="109">
        <f>P6*Assumptions!$G26</f>
        <v>1.5478789621650213</v>
      </c>
      <c r="Q12" s="109">
        <f>Q6*Assumptions!$G26</f>
        <v>1.5459808641247144</v>
      </c>
      <c r="R12" s="109">
        <f>R6*Assumptions!$G26</f>
        <v>1.6940029845104676</v>
      </c>
      <c r="S12" s="109">
        <f>S6*Assumptions!$G26</f>
        <v>1.6322699685627584</v>
      </c>
      <c r="T12" s="109">
        <f>T6*Assumptions!$G26</f>
        <v>1.8466985115673298</v>
      </c>
      <c r="U12" s="109">
        <f>U6*Assumptions!$G26</f>
        <v>1.8990043123355886</v>
      </c>
      <c r="V12" s="109">
        <f>V6*Assumptions!$G26</f>
        <v>1.8606034806255551</v>
      </c>
      <c r="W12" s="109">
        <f>W6*Assumptions!$G26</f>
        <v>2.0527146702871213</v>
      </c>
      <c r="X12" s="109">
        <f>X6*Assumptions!$G26</f>
        <v>1.9662162293601355</v>
      </c>
      <c r="Y12" s="109">
        <f>Y6*Assumptions!$G26</f>
        <v>2.0756306535284681</v>
      </c>
      <c r="Z12" s="109">
        <f>Z6*Assumptions!$G26</f>
        <v>2.2395066644362003</v>
      </c>
      <c r="AA12" s="109">
        <f>AA6*Assumptions!$G26</f>
        <v>2.0248583545095031</v>
      </c>
      <c r="AB12" s="109">
        <f>AB6*Assumptions!$G26</f>
        <v>2.2555872373491046</v>
      </c>
      <c r="AC12" s="109">
        <f>AC6*Assumptions!$G26</f>
        <v>2.3238176971789386</v>
      </c>
      <c r="AD12" s="109">
        <f>AD6*Assumptions!$G26</f>
        <v>2.4519096135830258</v>
      </c>
      <c r="AE12" s="109">
        <f>AE6*Assumptions!$G26</f>
        <v>2.3922339430832551</v>
      </c>
      <c r="AF12" s="109">
        <f>AF6*Assumptions!$G26</f>
        <v>2.8060376014308108</v>
      </c>
      <c r="AG12" s="109">
        <f>AG6*Assumptions!$G26</f>
        <v>2.7253852907116585</v>
      </c>
      <c r="AH12" s="109">
        <f>AH6*Assumptions!$G26</f>
        <v>2.7358879560571392</v>
      </c>
      <c r="AI12" s="109">
        <f>AI6*Assumptions!$G26</f>
        <v>3.0691759991728773</v>
      </c>
      <c r="AJ12" s="109">
        <f>AJ6*Assumptions!$G26</f>
        <v>2.8975973644230795</v>
      </c>
      <c r="AK12" s="109">
        <f>AK6*Assumptions!$G26</f>
        <v>3.1131555570444203</v>
      </c>
      <c r="AL12" s="109">
        <f>AL6*Assumptions!$G26</f>
        <v>3.1448573681853085</v>
      </c>
      <c r="AM12" s="109">
        <f>AM6*Assumptions!$G26</f>
        <v>2.8574874686809224</v>
      </c>
      <c r="AN12" s="109">
        <f>AN6*Assumptions!$G26</f>
        <v>3.1168503607627223</v>
      </c>
    </row>
    <row r="13" spans="1:40" x14ac:dyDescent="0.25">
      <c r="A13" t="str">
        <f>Assumptions!A27</f>
        <v>Food (% of revenue)</v>
      </c>
      <c r="E13" s="109">
        <f>E7*Assumptions!$G27</f>
        <v>0</v>
      </c>
      <c r="F13" s="109">
        <f>F7*Assumptions!$G27</f>
        <v>0</v>
      </c>
      <c r="G13" s="109">
        <f>G7*Assumptions!$G27</f>
        <v>0</v>
      </c>
      <c r="H13" s="109">
        <f>H7*Assumptions!$G27</f>
        <v>4.5179999999999998</v>
      </c>
      <c r="I13" s="109">
        <f>I7*Assumptions!$G27</f>
        <v>4.7031600000000005</v>
      </c>
      <c r="J13" s="109">
        <f>J7*Assumptions!$G27</f>
        <v>4.6123248000000006</v>
      </c>
      <c r="K13" s="109">
        <f>K7*Assumptions!$G27</f>
        <v>4.9226218560000001</v>
      </c>
      <c r="L13" s="109">
        <f>L7*Assumptions!$G27</f>
        <v>4.905714542400001</v>
      </c>
      <c r="M13" s="109">
        <f>M7*Assumptions!$G27</f>
        <v>5.1395339701824003</v>
      </c>
      <c r="N13" s="109">
        <f>N7*Assumptions!$G27</f>
        <v>5.3893546421003524</v>
      </c>
      <c r="O13" s="109">
        <f>O7*Assumptions!$G27</f>
        <v>4.9389847540049825</v>
      </c>
      <c r="P13" s="109">
        <f>P7*Assumptions!$G27</f>
        <v>5.5582036790458789</v>
      </c>
      <c r="Q13" s="109">
        <f>Q7*Assumptions!$G27</f>
        <v>5.5412321142318124</v>
      </c>
      <c r="R13" s="109">
        <f>R7*Assumptions!$G27</f>
        <v>6.0194562278076251</v>
      </c>
      <c r="S13" s="109">
        <f>S7*Assumptions!$G27</f>
        <v>5.843910651973629</v>
      </c>
      <c r="T13" s="109">
        <f>T7*Assumptions!$G27</f>
        <v>6.5846999429045336</v>
      </c>
      <c r="U13" s="109">
        <f>U7*Assumptions!$G27</f>
        <v>6.7672299167665848</v>
      </c>
      <c r="V13" s="109">
        <f>V7*Assumptions!$G27</f>
        <v>6.6499762037489019</v>
      </c>
      <c r="W13" s="109">
        <f>W7*Assumptions!$G27</f>
        <v>7.2722071104006956</v>
      </c>
      <c r="X13" s="109">
        <f>X7*Assumptions!$G27</f>
        <v>7.0193174046580689</v>
      </c>
      <c r="Y13" s="109">
        <f>Y7*Assumptions!$G27</f>
        <v>7.4154617570716166</v>
      </c>
      <c r="Z13" s="109">
        <f>Z7*Assumptions!$G27</f>
        <v>7.9195508398775711</v>
      </c>
      <c r="AA13" s="109">
        <f>AA7*Assumptions!$G27</f>
        <v>7.1950243351478331</v>
      </c>
      <c r="AB13" s="109">
        <f>AB7*Assumptions!$G27</f>
        <v>8.0443298660258247</v>
      </c>
      <c r="AC13" s="109">
        <f>AC7*Assumptions!$G27</f>
        <v>8.2297933038020386</v>
      </c>
      <c r="AD13" s="109">
        <f>AD7*Assumptions!$G27</f>
        <v>8.6907570678926049</v>
      </c>
      <c r="AE13" s="109">
        <f>AE7*Assumptions!$G27</f>
        <v>8.5050460489039921</v>
      </c>
      <c r="AF13" s="109">
        <f>AF7*Assumptions!$G27</f>
        <v>9.8867813659620776</v>
      </c>
      <c r="AG13" s="109">
        <f>AG7*Assumptions!$G27</f>
        <v>9.6911596201850401</v>
      </c>
      <c r="AH13" s="109">
        <f>AH7*Assumptions!$G27</f>
        <v>9.7093832064312444</v>
      </c>
      <c r="AI13" s="109">
        <f>AI7*Assumptions!$G27</f>
        <v>10.794154379480355</v>
      </c>
      <c r="AJ13" s="109">
        <f>AJ7*Assumptions!$G27</f>
        <v>10.27089744289483</v>
      </c>
      <c r="AK13" s="109">
        <f>AK7*Assumptions!$G27</f>
        <v>11.004564588916574</v>
      </c>
      <c r="AL13" s="109">
        <f>AL7*Assumptions!$G27</f>
        <v>11.123446380694906</v>
      </c>
      <c r="AM13" s="109">
        <f>AM7*Assumptions!$G27</f>
        <v>10.120228007553459</v>
      </c>
      <c r="AN13" s="109">
        <f>AN7*Assumptions!$G27</f>
        <v>11.092838852860208</v>
      </c>
    </row>
    <row r="14" spans="1:40" x14ac:dyDescent="0.25">
      <c r="A14" t="s">
        <v>122</v>
      </c>
      <c r="E14" s="109">
        <f>IF(MOD(E$2,12)=4,MAX(D14*(1+Assumptions!$G$41),Assumptions!$G$40/Den),'Monthly P&amp;L'!D14)</f>
        <v>0</v>
      </c>
      <c r="F14" s="109">
        <f>IF(MOD(F$2,12)=4,MAX(E14*(1+Assumptions!$G$41),Assumptions!$G$40/Den),'Monthly P&amp;L'!E14)</f>
        <v>0</v>
      </c>
      <c r="G14" s="109">
        <f>IF(MOD(G$2,12)=4,MAX(F14*(1+Assumptions!$G$41),Assumptions!$G$40/Den),'Monthly P&amp;L'!F14)</f>
        <v>0</v>
      </c>
      <c r="H14" s="109">
        <f>IF(MOD(H$2,12)=4,MAX(G14*(1+Assumptions!$G$41),Assumptions!$G$40/Den),'Monthly P&amp;L'!G14)</f>
        <v>9.86</v>
      </c>
      <c r="I14" s="109">
        <f>IF(MOD(I$2,12)=4,MAX(H14*(1+Assumptions!$G$41),Assumptions!$G$40/Den),'Monthly P&amp;L'!H14)</f>
        <v>9.86</v>
      </c>
      <c r="J14" s="109">
        <f>IF(MOD(J$2,12)=4,MAX(I14*(1+Assumptions!$G$41),Assumptions!$G$40/Den),'Monthly P&amp;L'!I14)</f>
        <v>9.86</v>
      </c>
      <c r="K14" s="109">
        <f>IF(MOD(K$2,12)=4,MAX(J14*(1+Assumptions!$G$41),Assumptions!$G$40/Den),'Monthly P&amp;L'!J14)</f>
        <v>9.86</v>
      </c>
      <c r="L14" s="109">
        <f>IF(MOD(L$2,12)=4,MAX(K14*(1+Assumptions!$G$41),Assumptions!$G$40/Den),'Monthly P&amp;L'!K14)</f>
        <v>9.86</v>
      </c>
      <c r="M14" s="109">
        <f>IF(MOD(M$2,12)=4,MAX(L14*(1+Assumptions!$G$41),Assumptions!$G$40/Den),'Monthly P&amp;L'!L14)</f>
        <v>9.86</v>
      </c>
      <c r="N14" s="109">
        <f>IF(MOD(N$2,12)=4,MAX(M14*(1+Assumptions!$G$41),Assumptions!$G$40/Den),'Monthly P&amp;L'!M14)</f>
        <v>9.86</v>
      </c>
      <c r="O14" s="109">
        <f>IF(MOD(O$2,12)=4,MAX(N14*(1+Assumptions!$G$41),Assumptions!$G$40/Den),'Monthly P&amp;L'!N14)</f>
        <v>9.86</v>
      </c>
      <c r="P14" s="109">
        <f>IF(MOD(P$2,12)=4,MAX(O14*(1+Assumptions!$G$41),Assumptions!$G$40/Den),'Monthly P&amp;L'!O14)</f>
        <v>9.86</v>
      </c>
      <c r="Q14" s="109">
        <f>IF(MOD(Q$2,12)=4,MAX(P14*(1+Assumptions!$G$41),Assumptions!$G$40/Den),'Monthly P&amp;L'!P14)</f>
        <v>9.86</v>
      </c>
      <c r="R14" s="109">
        <f>IF(MOD(R$2,12)=4,MAX(Q14*(1+Assumptions!$G$41),Assumptions!$G$40/Den),'Monthly P&amp;L'!Q14)</f>
        <v>9.86</v>
      </c>
      <c r="S14" s="109">
        <f>IF(MOD(S$2,12)=4,MAX(R14*(1+Assumptions!$G$41),Assumptions!$G$40/Den),'Monthly P&amp;L'!R14)</f>
        <v>9.86</v>
      </c>
      <c r="T14" s="109">
        <f>IF(MOD(T$2,12)=4,MAX(S14*(1+Assumptions!$G$41),Assumptions!$G$40/Den),'Monthly P&amp;L'!S14)</f>
        <v>10.6488</v>
      </c>
      <c r="U14" s="109">
        <f>IF(MOD(U$2,12)=4,MAX(T14*(1+Assumptions!$G$41),Assumptions!$G$40/Den),'Monthly P&amp;L'!T14)</f>
        <v>10.6488</v>
      </c>
      <c r="V14" s="109">
        <f>IF(MOD(V$2,12)=4,MAX(U14*(1+Assumptions!$G$41),Assumptions!$G$40/Den),'Monthly P&amp;L'!U14)</f>
        <v>10.6488</v>
      </c>
      <c r="W14" s="109">
        <f>IF(MOD(W$2,12)=4,MAX(V14*(1+Assumptions!$G$41),Assumptions!$G$40/Den),'Monthly P&amp;L'!V14)</f>
        <v>10.6488</v>
      </c>
      <c r="X14" s="109">
        <f>IF(MOD(X$2,12)=4,MAX(W14*(1+Assumptions!$G$41),Assumptions!$G$40/Den),'Monthly P&amp;L'!W14)</f>
        <v>10.6488</v>
      </c>
      <c r="Y14" s="109">
        <f>IF(MOD(Y$2,12)=4,MAX(X14*(1+Assumptions!$G$41),Assumptions!$G$40/Den),'Monthly P&amp;L'!X14)</f>
        <v>10.6488</v>
      </c>
      <c r="Z14" s="109">
        <f>IF(MOD(Z$2,12)=4,MAX(Y14*(1+Assumptions!$G$41),Assumptions!$G$40/Den),'Monthly P&amp;L'!Y14)</f>
        <v>10.6488</v>
      </c>
      <c r="AA14" s="109">
        <f>IF(MOD(AA$2,12)=4,MAX(Z14*(1+Assumptions!$G$41),Assumptions!$G$40/Den),'Monthly P&amp;L'!Z14)</f>
        <v>10.6488</v>
      </c>
      <c r="AB14" s="109">
        <f>IF(MOD(AB$2,12)=4,MAX(AA14*(1+Assumptions!$G$41),Assumptions!$G$40/Den),'Monthly P&amp;L'!AA14)</f>
        <v>10.6488</v>
      </c>
      <c r="AC14" s="109">
        <f>IF(MOD(AC$2,12)=4,MAX(AB14*(1+Assumptions!$G$41),Assumptions!$G$40/Den),'Monthly P&amp;L'!AB14)</f>
        <v>10.6488</v>
      </c>
      <c r="AD14" s="109">
        <f>IF(MOD(AD$2,12)=4,MAX(AC14*(1+Assumptions!$G$41),Assumptions!$G$40/Den),'Monthly P&amp;L'!AC14)</f>
        <v>10.6488</v>
      </c>
      <c r="AE14" s="109">
        <f>IF(MOD(AE$2,12)=4,MAX(AD14*(1+Assumptions!$G$41),Assumptions!$G$40/Den),'Monthly P&amp;L'!AD14)</f>
        <v>10.6488</v>
      </c>
      <c r="AF14" s="109">
        <f>IF(MOD(AF$2,12)=4,MAX(AE14*(1+Assumptions!$G$41),Assumptions!$G$40/Den),'Monthly P&amp;L'!AE14)</f>
        <v>11.500704000000001</v>
      </c>
      <c r="AG14" s="109">
        <f>IF(MOD(AG$2,12)=4,MAX(AF14*(1+Assumptions!$G$41),Assumptions!$G$40/Den),'Monthly P&amp;L'!AF14)</f>
        <v>11.500704000000001</v>
      </c>
      <c r="AH14" s="109">
        <f>IF(MOD(AH$2,12)=4,MAX(AG14*(1+Assumptions!$G$41),Assumptions!$G$40/Den),'Monthly P&amp;L'!AG14)</f>
        <v>11.500704000000001</v>
      </c>
      <c r="AI14" s="109">
        <f>IF(MOD(AI$2,12)=4,MAX(AH14*(1+Assumptions!$G$41),Assumptions!$G$40/Den),'Monthly P&amp;L'!AH14)</f>
        <v>11.500704000000001</v>
      </c>
      <c r="AJ14" s="109">
        <f>IF(MOD(AJ$2,12)=4,MAX(AI14*(1+Assumptions!$G$41),Assumptions!$G$40/Den),'Monthly P&amp;L'!AI14)</f>
        <v>11.500704000000001</v>
      </c>
      <c r="AK14" s="109">
        <f>IF(MOD(AK$2,12)=4,MAX(AJ14*(1+Assumptions!$G$41),Assumptions!$G$40/Den),'Monthly P&amp;L'!AJ14)</f>
        <v>11.500704000000001</v>
      </c>
      <c r="AL14" s="109">
        <f>IF(MOD(AL$2,12)=4,MAX(AK14*(1+Assumptions!$G$41),Assumptions!$G$40/Den),'Monthly P&amp;L'!AK14)</f>
        <v>11.500704000000001</v>
      </c>
      <c r="AM14" s="109">
        <f>IF(MOD(AM$2,12)=4,MAX(AL14*(1+Assumptions!$G$41),Assumptions!$G$40/Den),'Monthly P&amp;L'!AL14)</f>
        <v>11.500704000000001</v>
      </c>
      <c r="AN14" s="109">
        <f>IF(MOD(AN$2,12)=4,MAX(AM14*(1+Assumptions!$G$41),Assumptions!$G$40/Den),'Monthly P&amp;L'!AM14)</f>
        <v>11.500704000000001</v>
      </c>
    </row>
    <row r="15" spans="1:40" s="100" customFormat="1" x14ac:dyDescent="0.25">
      <c r="A15" s="117" t="s">
        <v>123</v>
      </c>
      <c r="B15" s="117"/>
      <c r="C15" s="117"/>
      <c r="D15" s="117"/>
      <c r="E15" s="119">
        <f>SUM(E11:E14)</f>
        <v>0</v>
      </c>
      <c r="F15" s="119">
        <f t="shared" ref="F15:AN15" si="2">SUM(F11:F14)</f>
        <v>0</v>
      </c>
      <c r="G15" s="119">
        <f t="shared" si="2"/>
        <v>0</v>
      </c>
      <c r="H15" s="119">
        <f t="shared" si="2"/>
        <v>17.860999999999997</v>
      </c>
      <c r="I15" s="119">
        <f t="shared" si="2"/>
        <v>18.292244</v>
      </c>
      <c r="J15" s="119">
        <f t="shared" si="2"/>
        <v>18.052267999999998</v>
      </c>
      <c r="K15" s="119">
        <f t="shared" si="2"/>
        <v>18.647736655999999</v>
      </c>
      <c r="L15" s="119">
        <f t="shared" si="2"/>
        <v>18.639483875744002</v>
      </c>
      <c r="M15" s="119">
        <f t="shared" si="2"/>
        <v>18.993237319114883</v>
      </c>
      <c r="N15" s="119">
        <f t="shared" si="2"/>
        <v>19.559211584823565</v>
      </c>
      <c r="O15" s="119">
        <f t="shared" si="2"/>
        <v>18.695401146042286</v>
      </c>
      <c r="P15" s="119">
        <f t="shared" si="2"/>
        <v>19.75830519187889</v>
      </c>
      <c r="Q15" s="119">
        <f t="shared" si="2"/>
        <v>19.751589623316331</v>
      </c>
      <c r="R15" s="119">
        <f t="shared" si="2"/>
        <v>20.726612960274387</v>
      </c>
      <c r="S15" s="119">
        <f t="shared" si="2"/>
        <v>20.307216888423874</v>
      </c>
      <c r="T15" s="119">
        <f t="shared" si="2"/>
        <v>22.482820550000721</v>
      </c>
      <c r="U15" s="119">
        <f t="shared" si="2"/>
        <v>22.820128957950541</v>
      </c>
      <c r="V15" s="119">
        <f t="shared" si="2"/>
        <v>22.563546201154523</v>
      </c>
      <c r="W15" s="119">
        <f t="shared" si="2"/>
        <v>23.82814885984434</v>
      </c>
      <c r="X15" s="119">
        <f t="shared" si="2"/>
        <v>23.244198692118381</v>
      </c>
      <c r="Y15" s="119">
        <f t="shared" si="2"/>
        <v>23.94213999180284</v>
      </c>
      <c r="Z15" s="119">
        <f t="shared" si="2"/>
        <v>25.035130533038867</v>
      </c>
      <c r="AA15" s="119">
        <f t="shared" si="2"/>
        <v>23.637817264684301</v>
      </c>
      <c r="AB15" s="119">
        <f t="shared" si="2"/>
        <v>25.102170406322518</v>
      </c>
      <c r="AC15" s="119">
        <f t="shared" si="2"/>
        <v>25.570277673369326</v>
      </c>
      <c r="AD15" s="119">
        <f t="shared" si="2"/>
        <v>26.388857547087554</v>
      </c>
      <c r="AE15" s="119">
        <f t="shared" si="2"/>
        <v>25.991989503843484</v>
      </c>
      <c r="AF15" s="119">
        <f t="shared" si="2"/>
        <v>29.545685012153079</v>
      </c>
      <c r="AG15" s="119">
        <f t="shared" si="2"/>
        <v>28.979751513736041</v>
      </c>
      <c r="AH15" s="119">
        <f t="shared" si="2"/>
        <v>29.057319401054251</v>
      </c>
      <c r="AI15" s="119">
        <f t="shared" si="2"/>
        <v>31.248421646167657</v>
      </c>
      <c r="AJ15" s="119">
        <f t="shared" si="2"/>
        <v>30.101641197601467</v>
      </c>
      <c r="AK15" s="119">
        <f t="shared" si="2"/>
        <v>31.511602705046585</v>
      </c>
      <c r="AL15" s="119">
        <f t="shared" si="2"/>
        <v>31.711634241647516</v>
      </c>
      <c r="AM15" s="119">
        <f t="shared" si="2"/>
        <v>29.857552212709514</v>
      </c>
      <c r="AN15" s="119">
        <f t="shared" si="2"/>
        <v>31.49407567850826</v>
      </c>
    </row>
    <row r="16" spans="1:40" s="100" customFormat="1" x14ac:dyDescent="0.25">
      <c r="A16" s="9"/>
      <c r="B16" s="9"/>
      <c r="C16" s="9"/>
      <c r="D16" s="9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</row>
    <row r="17" spans="1:40" x14ac:dyDescent="0.25">
      <c r="A17" t="s">
        <v>124</v>
      </c>
      <c r="E17" s="109">
        <f>IF(MOD(E$2,12)=4,MAX(D17*(1+Assumptions!$G$41),Assumptions!$G$50/Den),'Monthly P&amp;L'!D17)</f>
        <v>0</v>
      </c>
      <c r="F17" s="109">
        <f>IF(MOD(F$2,12)=4,MAX(E17*(1+Assumptions!$G$41),Assumptions!$G$50/Den),'Monthly P&amp;L'!E17)</f>
        <v>0</v>
      </c>
      <c r="G17" s="109">
        <f>IF(MOD(G$2,12)=4,MAX(F17*(1+Assumptions!$G$41),Assumptions!$G$50/Den),'Monthly P&amp;L'!F17)</f>
        <v>0</v>
      </c>
      <c r="H17" s="109">
        <f>IF(MOD(H$2,12)=4,MAX(G17*(1+Assumptions!$G$41),Assumptions!$G$50/Den),'Monthly P&amp;L'!G17)</f>
        <v>3.8</v>
      </c>
      <c r="I17" s="109">
        <f>IF(MOD(I$2,12)=4,MAX(H17*(1+Assumptions!$G$41),Assumptions!$G$50/Den),'Monthly P&amp;L'!H17)</f>
        <v>3.8</v>
      </c>
      <c r="J17" s="109">
        <f>IF(MOD(J$2,12)=4,MAX(I17*(1+Assumptions!$G$41),Assumptions!$G$50/Den),'Monthly P&amp;L'!I17)</f>
        <v>3.8</v>
      </c>
      <c r="K17" s="109">
        <f>IF(MOD(K$2,12)=4,MAX(J17*(1+Assumptions!$G$41),Assumptions!$G$50/Den),'Monthly P&amp;L'!J17)</f>
        <v>3.8</v>
      </c>
      <c r="L17" s="109">
        <f>IF(MOD(L$2,12)=4,MAX(K17*(1+Assumptions!$G$41),Assumptions!$G$50/Den),'Monthly P&amp;L'!K17)</f>
        <v>3.8</v>
      </c>
      <c r="M17" s="109">
        <f>IF(MOD(M$2,12)=4,MAX(L17*(1+Assumptions!$G$41),Assumptions!$G$50/Den),'Monthly P&amp;L'!L17)</f>
        <v>3.8</v>
      </c>
      <c r="N17" s="109">
        <f>IF(MOD(N$2,12)=4,MAX(M17*(1+Assumptions!$G$41),Assumptions!$G$50/Den),'Monthly P&amp;L'!M17)</f>
        <v>3.8</v>
      </c>
      <c r="O17" s="109">
        <f>IF(MOD(O$2,12)=4,MAX(N17*(1+Assumptions!$G$41),Assumptions!$G$50/Den),'Monthly P&amp;L'!N17)</f>
        <v>3.8</v>
      </c>
      <c r="P17" s="109">
        <f>IF(MOD(P$2,12)=4,MAX(O17*(1+Assumptions!$G$41),Assumptions!$G$50/Den),'Monthly P&amp;L'!O17)</f>
        <v>3.8</v>
      </c>
      <c r="Q17" s="109">
        <f>IF(MOD(Q$2,12)=4,MAX(P17*(1+Assumptions!$G$41),Assumptions!$G$50/Den),'Monthly P&amp;L'!P17)</f>
        <v>3.8</v>
      </c>
      <c r="R17" s="109">
        <f>IF(MOD(R$2,12)=4,MAX(Q17*(1+Assumptions!$G$41),Assumptions!$G$50/Den),'Monthly P&amp;L'!Q17)</f>
        <v>3.8</v>
      </c>
      <c r="S17" s="109">
        <f>IF(MOD(S$2,12)=4,MAX(R17*(1+Assumptions!$G$41),Assumptions!$G$50/Den),'Monthly P&amp;L'!R17)</f>
        <v>3.8</v>
      </c>
      <c r="T17" s="109">
        <f>IF(MOD(T$2,12)=4,MAX(S17*(1+Assumptions!$G$41),Assumptions!$G$50/Den),'Monthly P&amp;L'!S17)</f>
        <v>4.1040000000000001</v>
      </c>
      <c r="U17" s="109">
        <f>IF(MOD(U$2,12)=4,MAX(T17*(1+Assumptions!$G$41),Assumptions!$G$50/Den),'Monthly P&amp;L'!T17)</f>
        <v>4.1040000000000001</v>
      </c>
      <c r="V17" s="109">
        <f>IF(MOD(V$2,12)=4,MAX(U17*(1+Assumptions!$G$41),Assumptions!$G$50/Den),'Monthly P&amp;L'!U17)</f>
        <v>4.1040000000000001</v>
      </c>
      <c r="W17" s="109">
        <f>IF(MOD(W$2,12)=4,MAX(V17*(1+Assumptions!$G$41),Assumptions!$G$50/Den),'Monthly P&amp;L'!V17)</f>
        <v>4.1040000000000001</v>
      </c>
      <c r="X17" s="109">
        <f>IF(MOD(X$2,12)=4,MAX(W17*(1+Assumptions!$G$41),Assumptions!$G$50/Den),'Monthly P&amp;L'!W17)</f>
        <v>4.1040000000000001</v>
      </c>
      <c r="Y17" s="109">
        <f>IF(MOD(Y$2,12)=4,MAX(X17*(1+Assumptions!$G$41),Assumptions!$G$50/Den),'Monthly P&amp;L'!X17)</f>
        <v>4.1040000000000001</v>
      </c>
      <c r="Z17" s="109">
        <f>IF(MOD(Z$2,12)=4,MAX(Y17*(1+Assumptions!$G$41),Assumptions!$G$50/Den),'Monthly P&amp;L'!Y17)</f>
        <v>4.1040000000000001</v>
      </c>
      <c r="AA17" s="109">
        <f>IF(MOD(AA$2,12)=4,MAX(Z17*(1+Assumptions!$G$41),Assumptions!$G$50/Den),'Monthly P&amp;L'!Z17)</f>
        <v>4.1040000000000001</v>
      </c>
      <c r="AB17" s="109">
        <f>IF(MOD(AB$2,12)=4,MAX(AA17*(1+Assumptions!$G$41),Assumptions!$G$50/Den),'Monthly P&amp;L'!AA17)</f>
        <v>4.1040000000000001</v>
      </c>
      <c r="AC17" s="109">
        <f>IF(MOD(AC$2,12)=4,MAX(AB17*(1+Assumptions!$G$41),Assumptions!$G$50/Den),'Monthly P&amp;L'!AB17)</f>
        <v>4.1040000000000001</v>
      </c>
      <c r="AD17" s="109">
        <f>IF(MOD(AD$2,12)=4,MAX(AC17*(1+Assumptions!$G$41),Assumptions!$G$50/Den),'Monthly P&amp;L'!AC17)</f>
        <v>4.1040000000000001</v>
      </c>
      <c r="AE17" s="109">
        <f>IF(MOD(AE$2,12)=4,MAX(AD17*(1+Assumptions!$G$41),Assumptions!$G$50/Den),'Monthly P&amp;L'!AD17)</f>
        <v>4.1040000000000001</v>
      </c>
      <c r="AF17" s="109">
        <f>IF(MOD(AF$2,12)=4,MAX(AE17*(1+Assumptions!$G$41),Assumptions!$G$50/Den),'Monthly P&amp;L'!AE17)</f>
        <v>4.4323200000000007</v>
      </c>
      <c r="AG17" s="109">
        <f>IF(MOD(AG$2,12)=4,MAX(AF17*(1+Assumptions!$G$41),Assumptions!$G$50/Den),'Monthly P&amp;L'!AF17)</f>
        <v>4.4323200000000007</v>
      </c>
      <c r="AH17" s="109">
        <f>IF(MOD(AH$2,12)=4,MAX(AG17*(1+Assumptions!$G$41),Assumptions!$G$50/Den),'Monthly P&amp;L'!AG17)</f>
        <v>4.4323200000000007</v>
      </c>
      <c r="AI17" s="109">
        <f>IF(MOD(AI$2,12)=4,MAX(AH17*(1+Assumptions!$G$41),Assumptions!$G$50/Den),'Monthly P&amp;L'!AH17)</f>
        <v>4.4323200000000007</v>
      </c>
      <c r="AJ17" s="109">
        <f>IF(MOD(AJ$2,12)=4,MAX(AI17*(1+Assumptions!$G$41),Assumptions!$G$50/Den),'Monthly P&amp;L'!AI17)</f>
        <v>4.4323200000000007</v>
      </c>
      <c r="AK17" s="109">
        <f>IF(MOD(AK$2,12)=4,MAX(AJ17*(1+Assumptions!$G$41),Assumptions!$G$50/Den),'Monthly P&amp;L'!AJ17)</f>
        <v>4.4323200000000007</v>
      </c>
      <c r="AL17" s="109">
        <f>IF(MOD(AL$2,12)=4,MAX(AK17*(1+Assumptions!$G$41),Assumptions!$G$50/Den),'Monthly P&amp;L'!AK17)</f>
        <v>4.4323200000000007</v>
      </c>
      <c r="AM17" s="109">
        <f>IF(MOD(AM$2,12)=4,MAX(AL17*(1+Assumptions!$G$41),Assumptions!$G$50/Den),'Monthly P&amp;L'!AL17)</f>
        <v>4.4323200000000007</v>
      </c>
      <c r="AN17" s="109">
        <f>IF(MOD(AN$2,12)=4,MAX(AM17*(1+Assumptions!$G$41),Assumptions!$G$50/Den),'Monthly P&amp;L'!AM17)</f>
        <v>4.4323200000000007</v>
      </c>
    </row>
    <row r="18" spans="1:40" x14ac:dyDescent="0.25">
      <c r="A18" t="str">
        <f>Assumptions!A52</f>
        <v>Rotalty to brand (% Of Revenue)</v>
      </c>
      <c r="E18" s="109">
        <f>E8*Assumptions!$G$52</f>
        <v>0</v>
      </c>
      <c r="F18" s="109">
        <f>F8*Assumptions!$G$52</f>
        <v>0</v>
      </c>
      <c r="G18" s="109">
        <f>G8*Assumptions!$G$52</f>
        <v>0</v>
      </c>
      <c r="H18" s="109">
        <f>H8*Assumptions!$G$52</f>
        <v>1.2282000000000002</v>
      </c>
      <c r="I18" s="109">
        <f>I8*Assumptions!$G$52</f>
        <v>1.2930760000000001</v>
      </c>
      <c r="J18" s="109">
        <f>J8*Assumptions!$G$52</f>
        <v>1.25725072</v>
      </c>
      <c r="K18" s="109">
        <f>K8*Assumptions!$G$52</f>
        <v>1.3480704864000002</v>
      </c>
      <c r="L18" s="109">
        <f>L8*Assumptions!$G$52</f>
        <v>1.3465260861120003</v>
      </c>
      <c r="M18" s="109">
        <f>M8*Assumptions!$G$52</f>
        <v>1.4016012282464003</v>
      </c>
      <c r="N18" s="109">
        <f>N8*Assumptions!$G$52</f>
        <v>1.4869003301616512</v>
      </c>
      <c r="O18" s="109">
        <f>O8*Assumptions!$G$52</f>
        <v>1.3551481222715527</v>
      </c>
      <c r="P18" s="109">
        <f>P8*Assumptions!$G$52</f>
        <v>1.5187410859213204</v>
      </c>
      <c r="Q18" s="109">
        <f>Q8*Assumptions!$G$52</f>
        <v>1.5174115287151495</v>
      </c>
      <c r="R18" s="109">
        <f>R8*Assumptions!$G$52</f>
        <v>1.6654436131207409</v>
      </c>
      <c r="S18" s="109">
        <f>S8*Assumptions!$G$52</f>
        <v>1.6024526072879721</v>
      </c>
      <c r="T18" s="109">
        <f>T8*Assumptions!$G$52</f>
        <v>1.8143761752198424</v>
      </c>
      <c r="U18" s="109">
        <f>U8*Assumptions!$G$52</f>
        <v>1.8659750102432888</v>
      </c>
      <c r="V18" s="109">
        <f>V8*Assumptions!$G$52</f>
        <v>1.8272143047668301</v>
      </c>
      <c r="W18" s="109">
        <f>W8*Assumptions!$G$52</f>
        <v>2.0192562920655095</v>
      </c>
      <c r="X18" s="109">
        <f>X8*Assumptions!$G$52</f>
        <v>1.9313582710797208</v>
      </c>
      <c r="Y18" s="109">
        <f>Y8*Assumptions!$G$52</f>
        <v>2.0385423504224365</v>
      </c>
      <c r="Z18" s="109">
        <f>Z8*Assumptions!$G$52</f>
        <v>2.2037596199948482</v>
      </c>
      <c r="AA18" s="109">
        <f>AA8*Assumptions!$G$52</f>
        <v>1.9907258132707502</v>
      </c>
      <c r="AB18" s="109">
        <f>AB8*Assumptions!$G$52</f>
        <v>2.2160205208559312</v>
      </c>
      <c r="AC18" s="109">
        <f>AC8*Assumptions!$G$52</f>
        <v>2.286090382646043</v>
      </c>
      <c r="AD18" s="109">
        <f>AD8*Assumptions!$G$52</f>
        <v>2.4117183366721586</v>
      </c>
      <c r="AE18" s="109">
        <f>AE8*Assumptions!$G$52</f>
        <v>2.3516668479679161</v>
      </c>
      <c r="AF18" s="109">
        <f>AF8*Assumptions!$G$52</f>
        <v>2.7631461723287489</v>
      </c>
      <c r="AG18" s="109">
        <f>AG8*Assumptions!$G$52</f>
        <v>2.6790810889182755</v>
      </c>
      <c r="AH18" s="109">
        <f>AH8*Assumptions!$G$52</f>
        <v>2.6904085629931886</v>
      </c>
      <c r="AI18" s="109">
        <f>AI8*Assumptions!$G$52</f>
        <v>3.0232994823120629</v>
      </c>
      <c r="AJ18" s="109">
        <f>AJ8*Assumptions!$G$52</f>
        <v>2.8500791096472939</v>
      </c>
      <c r="AK18" s="109">
        <f>AK8*Assumptions!$G$52</f>
        <v>3.0651211940812564</v>
      </c>
      <c r="AL18" s="109">
        <f>AL8*Assumptions!$G$52</f>
        <v>3.0959615429628817</v>
      </c>
      <c r="AM18" s="109">
        <f>AM8*Assumptions!$G$52</f>
        <v>2.8123381352928543</v>
      </c>
      <c r="AN18" s="109">
        <f>AN8*Assumptions!$G$52</f>
        <v>3.0646531226985179</v>
      </c>
    </row>
    <row r="19" spans="1:40" x14ac:dyDescent="0.25">
      <c r="A19" t="str">
        <f>Assumptions!A53</f>
        <v>Rent (as per contract) (% of revenue)</v>
      </c>
      <c r="E19" s="109">
        <f>E8*Assumptions!$G$53</f>
        <v>0</v>
      </c>
      <c r="F19" s="109">
        <f>F8*Assumptions!$G$53</f>
        <v>0</v>
      </c>
      <c r="G19" s="109">
        <f>G8*Assumptions!$G$53</f>
        <v>0</v>
      </c>
      <c r="H19" s="109">
        <f>H8*Assumptions!$G$53</f>
        <v>2.4564000000000004</v>
      </c>
      <c r="I19" s="109">
        <f>I8*Assumptions!$G$53</f>
        <v>2.5861520000000002</v>
      </c>
      <c r="J19" s="109">
        <f>J8*Assumptions!$G$53</f>
        <v>2.5145014400000001</v>
      </c>
      <c r="K19" s="109">
        <f>K8*Assumptions!$G$53</f>
        <v>2.6961409728000003</v>
      </c>
      <c r="L19" s="109">
        <f>L8*Assumptions!$G$53</f>
        <v>2.6930521722240006</v>
      </c>
      <c r="M19" s="109">
        <f>M8*Assumptions!$G$53</f>
        <v>2.8032024564928006</v>
      </c>
      <c r="N19" s="109">
        <f>N8*Assumptions!$G$53</f>
        <v>2.9738006603233025</v>
      </c>
      <c r="O19" s="109">
        <f>O8*Assumptions!$G$53</f>
        <v>2.7102962445431054</v>
      </c>
      <c r="P19" s="109">
        <f>P8*Assumptions!$G$53</f>
        <v>3.0374821718426408</v>
      </c>
      <c r="Q19" s="109">
        <f>Q8*Assumptions!$G$53</f>
        <v>3.034823057430299</v>
      </c>
      <c r="R19" s="109">
        <f>R8*Assumptions!$G$53</f>
        <v>3.3308872262414817</v>
      </c>
      <c r="S19" s="109">
        <f>S8*Assumptions!$G$53</f>
        <v>3.2049052145759442</v>
      </c>
      <c r="T19" s="109">
        <f>T8*Assumptions!$G$53</f>
        <v>3.6287523504396848</v>
      </c>
      <c r="U19" s="109">
        <f>U8*Assumptions!$G$53</f>
        <v>3.7319500204865776</v>
      </c>
      <c r="V19" s="109">
        <f>V8*Assumptions!$G$53</f>
        <v>3.6544286095336602</v>
      </c>
      <c r="W19" s="109">
        <f>W8*Assumptions!$G$53</f>
        <v>4.038512584131019</v>
      </c>
      <c r="X19" s="109">
        <f>X8*Assumptions!$G$53</f>
        <v>3.8627165421594416</v>
      </c>
      <c r="Y19" s="109">
        <f>Y8*Assumptions!$G$53</f>
        <v>4.077084700844873</v>
      </c>
      <c r="Z19" s="109">
        <f>Z8*Assumptions!$G$53</f>
        <v>4.4075192399896963</v>
      </c>
      <c r="AA19" s="109">
        <f>AA8*Assumptions!$G$53</f>
        <v>3.9814516265415003</v>
      </c>
      <c r="AB19" s="109">
        <f>AB8*Assumptions!$G$53</f>
        <v>4.4320410417118623</v>
      </c>
      <c r="AC19" s="109">
        <f>AC8*Assumptions!$G$53</f>
        <v>4.5721807652920861</v>
      </c>
      <c r="AD19" s="109">
        <f>AD8*Assumptions!$G$53</f>
        <v>4.8234366733443172</v>
      </c>
      <c r="AE19" s="109">
        <f>AE8*Assumptions!$G$53</f>
        <v>4.7033336959358323</v>
      </c>
      <c r="AF19" s="109">
        <f>AF8*Assumptions!$G$53</f>
        <v>5.5262923446574979</v>
      </c>
      <c r="AG19" s="109">
        <f>AG8*Assumptions!$G$53</f>
        <v>5.3581621778365509</v>
      </c>
      <c r="AH19" s="109">
        <f>AH8*Assumptions!$G$53</f>
        <v>5.3808171259863773</v>
      </c>
      <c r="AI19" s="109">
        <f>AI8*Assumptions!$G$53</f>
        <v>6.0465989646241258</v>
      </c>
      <c r="AJ19" s="109">
        <f>AJ8*Assumptions!$G$53</f>
        <v>5.7001582192945879</v>
      </c>
      <c r="AK19" s="109">
        <f>AK8*Assumptions!$G$53</f>
        <v>6.1302423881625128</v>
      </c>
      <c r="AL19" s="109">
        <f>AL8*Assumptions!$G$53</f>
        <v>6.1919230859257635</v>
      </c>
      <c r="AM19" s="109">
        <f>AM8*Assumptions!$G$53</f>
        <v>5.6246762705857085</v>
      </c>
      <c r="AN19" s="109">
        <f>AN8*Assumptions!$G$53</f>
        <v>6.1293062453970357</v>
      </c>
    </row>
    <row r="20" spans="1:40" x14ac:dyDescent="0.25">
      <c r="A20" t="str">
        <f>Assumptions!A54</f>
        <v>Water Cost (per month)</v>
      </c>
      <c r="E20" s="109">
        <f>IF(MOD(E$2,12)=4,MAX(D20*(1+Assumptions!$G$41),Assumptions!$G54/Den),'Monthly P&amp;L'!D20)</f>
        <v>0</v>
      </c>
      <c r="F20" s="109">
        <f>IF(MOD(F$2,12)=4,MAX(E20*(1+Assumptions!$G$41),Assumptions!$G54/Den),'Monthly P&amp;L'!E20)</f>
        <v>0</v>
      </c>
      <c r="G20" s="109">
        <f>IF(MOD(G$2,12)=4,MAX(F20*(1+Assumptions!$G$41),Assumptions!$G54/Den),'Monthly P&amp;L'!F20)</f>
        <v>0</v>
      </c>
      <c r="H20" s="109">
        <f>IF(MOD(H$2,12)=4,MAX(G20*(1+Assumptions!$G$41),Assumptions!$G54/Den),'Monthly P&amp;L'!G20)</f>
        <v>0.1</v>
      </c>
      <c r="I20" s="109">
        <f>IF(MOD(I$2,12)=4,MAX(H20*(1+Assumptions!$G$41),Assumptions!$G54/Den),'Monthly P&amp;L'!H20)</f>
        <v>0.1</v>
      </c>
      <c r="J20" s="109">
        <f>IF(MOD(J$2,12)=4,MAX(I20*(1+Assumptions!$G$41),Assumptions!$G54/Den),'Monthly P&amp;L'!I20)</f>
        <v>0.1</v>
      </c>
      <c r="K20" s="109">
        <f>IF(MOD(K$2,12)=4,MAX(J20*(1+Assumptions!$G$41),Assumptions!$G54/Den),'Monthly P&amp;L'!J20)</f>
        <v>0.1</v>
      </c>
      <c r="L20" s="109">
        <f>IF(MOD(L$2,12)=4,MAX(K20*(1+Assumptions!$G$41),Assumptions!$G54/Den),'Monthly P&amp;L'!K20)</f>
        <v>0.1</v>
      </c>
      <c r="M20" s="109">
        <f>IF(MOD(M$2,12)=4,MAX(L20*(1+Assumptions!$G$41),Assumptions!$G54/Den),'Monthly P&amp;L'!L20)</f>
        <v>0.1</v>
      </c>
      <c r="N20" s="109">
        <f>IF(MOD(N$2,12)=4,MAX(M20*(1+Assumptions!$G$41),Assumptions!$G54/Den),'Monthly P&amp;L'!M20)</f>
        <v>0.1</v>
      </c>
      <c r="O20" s="109">
        <f>IF(MOD(O$2,12)=4,MAX(N20*(1+Assumptions!$G$41),Assumptions!$G54/Den),'Monthly P&amp;L'!N20)</f>
        <v>0.1</v>
      </c>
      <c r="P20" s="109">
        <f>IF(MOD(P$2,12)=4,MAX(O20*(1+Assumptions!$G$41),Assumptions!$G54/Den),'Monthly P&amp;L'!O20)</f>
        <v>0.1</v>
      </c>
      <c r="Q20" s="109">
        <f>IF(MOD(Q$2,12)=4,MAX(P20*(1+Assumptions!$G$41),Assumptions!$G54/Den),'Monthly P&amp;L'!P20)</f>
        <v>0.1</v>
      </c>
      <c r="R20" s="109">
        <f>IF(MOD(R$2,12)=4,MAX(Q20*(1+Assumptions!$G$41),Assumptions!$G54/Den),'Monthly P&amp;L'!Q20)</f>
        <v>0.1</v>
      </c>
      <c r="S20" s="109">
        <f>IF(MOD(S$2,12)=4,MAX(R20*(1+Assumptions!$G$41),Assumptions!$G54/Den),'Monthly P&amp;L'!R20)</f>
        <v>0.1</v>
      </c>
      <c r="T20" s="109">
        <f>IF(MOD(T$2,12)=4,MAX(S20*(1+Assumptions!$G$41),Assumptions!$G54/Den),'Monthly P&amp;L'!S20)</f>
        <v>0.10800000000000001</v>
      </c>
      <c r="U20" s="109">
        <f>IF(MOD(U$2,12)=4,MAX(T20*(1+Assumptions!$G$41),Assumptions!$G54/Den),'Monthly P&amp;L'!T20)</f>
        <v>0.10800000000000001</v>
      </c>
      <c r="V20" s="109">
        <f>IF(MOD(V$2,12)=4,MAX(U20*(1+Assumptions!$G$41),Assumptions!$G54/Den),'Monthly P&amp;L'!U20)</f>
        <v>0.10800000000000001</v>
      </c>
      <c r="W20" s="109">
        <f>IF(MOD(W$2,12)=4,MAX(V20*(1+Assumptions!$G$41),Assumptions!$G54/Den),'Monthly P&amp;L'!V20)</f>
        <v>0.10800000000000001</v>
      </c>
      <c r="X20" s="109">
        <f>IF(MOD(X$2,12)=4,MAX(W20*(1+Assumptions!$G$41),Assumptions!$G54/Den),'Monthly P&amp;L'!W20)</f>
        <v>0.10800000000000001</v>
      </c>
      <c r="Y20" s="109">
        <f>IF(MOD(Y$2,12)=4,MAX(X20*(1+Assumptions!$G$41),Assumptions!$G54/Den),'Monthly P&amp;L'!X20)</f>
        <v>0.10800000000000001</v>
      </c>
      <c r="Z20" s="109">
        <f>IF(MOD(Z$2,12)=4,MAX(Y20*(1+Assumptions!$G$41),Assumptions!$G54/Den),'Monthly P&amp;L'!Y20)</f>
        <v>0.10800000000000001</v>
      </c>
      <c r="AA20" s="109">
        <f>IF(MOD(AA$2,12)=4,MAX(Z20*(1+Assumptions!$G$41),Assumptions!$G54/Den),'Monthly P&amp;L'!Z20)</f>
        <v>0.10800000000000001</v>
      </c>
      <c r="AB20" s="109">
        <f>IF(MOD(AB$2,12)=4,MAX(AA20*(1+Assumptions!$G$41),Assumptions!$G54/Den),'Monthly P&amp;L'!AA20)</f>
        <v>0.10800000000000001</v>
      </c>
      <c r="AC20" s="109">
        <f>IF(MOD(AC$2,12)=4,MAX(AB20*(1+Assumptions!$G$41),Assumptions!$G54/Den),'Monthly P&amp;L'!AB20)</f>
        <v>0.10800000000000001</v>
      </c>
      <c r="AD20" s="109">
        <f>IF(MOD(AD$2,12)=4,MAX(AC20*(1+Assumptions!$G$41),Assumptions!$G54/Den),'Monthly P&amp;L'!AC20)</f>
        <v>0.10800000000000001</v>
      </c>
      <c r="AE20" s="109">
        <f>IF(MOD(AE$2,12)=4,MAX(AD20*(1+Assumptions!$G$41),Assumptions!$G54/Den),'Monthly P&amp;L'!AD20)</f>
        <v>0.10800000000000001</v>
      </c>
      <c r="AF20" s="109">
        <f>IF(MOD(AF$2,12)=4,MAX(AE20*(1+Assumptions!$G$41),Assumptions!$G54/Den),'Monthly P&amp;L'!AE20)</f>
        <v>0.11664000000000002</v>
      </c>
      <c r="AG20" s="109">
        <f>IF(MOD(AG$2,12)=4,MAX(AF20*(1+Assumptions!$G$41),Assumptions!$G54/Den),'Monthly P&amp;L'!AF20)</f>
        <v>0.11664000000000002</v>
      </c>
      <c r="AH20" s="109">
        <f>IF(MOD(AH$2,12)=4,MAX(AG20*(1+Assumptions!$G$41),Assumptions!$G54/Den),'Monthly P&amp;L'!AG20)</f>
        <v>0.11664000000000002</v>
      </c>
      <c r="AI20" s="109">
        <f>IF(MOD(AI$2,12)=4,MAX(AH20*(1+Assumptions!$G$41),Assumptions!$G54/Den),'Monthly P&amp;L'!AH20)</f>
        <v>0.11664000000000002</v>
      </c>
      <c r="AJ20" s="109">
        <f>IF(MOD(AJ$2,12)=4,MAX(AI20*(1+Assumptions!$G$41),Assumptions!$G54/Den),'Monthly P&amp;L'!AI20)</f>
        <v>0.11664000000000002</v>
      </c>
      <c r="AK20" s="109">
        <f>IF(MOD(AK$2,12)=4,MAX(AJ20*(1+Assumptions!$G$41),Assumptions!$G54/Den),'Monthly P&amp;L'!AJ20)</f>
        <v>0.11664000000000002</v>
      </c>
      <c r="AL20" s="109">
        <f>IF(MOD(AL$2,12)=4,MAX(AK20*(1+Assumptions!$G$41),Assumptions!$G54/Den),'Monthly P&amp;L'!AK20)</f>
        <v>0.11664000000000002</v>
      </c>
      <c r="AM20" s="109">
        <f>IF(MOD(AM$2,12)=4,MAX(AL20*(1+Assumptions!$G$41),Assumptions!$G54/Den),'Monthly P&amp;L'!AL20)</f>
        <v>0.11664000000000002</v>
      </c>
      <c r="AN20" s="109">
        <f>IF(MOD(AN$2,12)=4,MAX(AM20*(1+Assumptions!$G$41),Assumptions!$G54/Den),'Monthly P&amp;L'!AM20)</f>
        <v>0.11664000000000002</v>
      </c>
    </row>
    <row r="21" spans="1:40" x14ac:dyDescent="0.25">
      <c r="A21" t="str">
        <f>Assumptions!A55</f>
        <v>Maintenance (per month)</v>
      </c>
      <c r="E21" s="109">
        <f>IF(MOD(E$2,12)=4,MAX(D21*(1+Assumptions!$G$41),Assumptions!$G55/Den),'Monthly P&amp;L'!D21)</f>
        <v>0</v>
      </c>
      <c r="F21" s="109">
        <f>IF(MOD(F$2,12)=4,MAX(E21*(1+Assumptions!$G$41),Assumptions!$G55/Den),'Monthly P&amp;L'!E21)</f>
        <v>0</v>
      </c>
      <c r="G21" s="109">
        <f>IF(MOD(G$2,12)=4,MAX(F21*(1+Assumptions!$G$41),Assumptions!$G55/Den),'Monthly P&amp;L'!F21)</f>
        <v>0</v>
      </c>
      <c r="H21" s="109">
        <f>IF(MOD(H$2,12)=4,MAX(G21*(1+Assumptions!$G$41),Assumptions!$G55/Den),'Monthly P&amp;L'!G21)</f>
        <v>0.5</v>
      </c>
      <c r="I21" s="109">
        <f>IF(MOD(I$2,12)=4,MAX(H21*(1+Assumptions!$G$41),Assumptions!$G55/Den),'Monthly P&amp;L'!H21)</f>
        <v>0.5</v>
      </c>
      <c r="J21" s="109">
        <f>IF(MOD(J$2,12)=4,MAX(I21*(1+Assumptions!$G$41),Assumptions!$G55/Den),'Monthly P&amp;L'!I21)</f>
        <v>0.5</v>
      </c>
      <c r="K21" s="109">
        <f>IF(MOD(K$2,12)=4,MAX(J21*(1+Assumptions!$G$41),Assumptions!$G55/Den),'Monthly P&amp;L'!J21)</f>
        <v>0.5</v>
      </c>
      <c r="L21" s="109">
        <f>IF(MOD(L$2,12)=4,MAX(K21*(1+Assumptions!$G$41),Assumptions!$G55/Den),'Monthly P&amp;L'!K21)</f>
        <v>0.5</v>
      </c>
      <c r="M21" s="109">
        <f>IF(MOD(M$2,12)=4,MAX(L21*(1+Assumptions!$G$41),Assumptions!$G55/Den),'Monthly P&amp;L'!L21)</f>
        <v>0.5</v>
      </c>
      <c r="N21" s="109">
        <f>IF(MOD(N$2,12)=4,MAX(M21*(1+Assumptions!$G$41),Assumptions!$G55/Den),'Monthly P&amp;L'!M21)</f>
        <v>0.5</v>
      </c>
      <c r="O21" s="109">
        <f>IF(MOD(O$2,12)=4,MAX(N21*(1+Assumptions!$G$41),Assumptions!$G55/Den),'Monthly P&amp;L'!N21)</f>
        <v>0.5</v>
      </c>
      <c r="P21" s="109">
        <f>IF(MOD(P$2,12)=4,MAX(O21*(1+Assumptions!$G$41),Assumptions!$G55/Den),'Monthly P&amp;L'!O21)</f>
        <v>0.5</v>
      </c>
      <c r="Q21" s="109">
        <f>IF(MOD(Q$2,12)=4,MAX(P21*(1+Assumptions!$G$41),Assumptions!$G55/Den),'Monthly P&amp;L'!P21)</f>
        <v>0.5</v>
      </c>
      <c r="R21" s="109">
        <f>IF(MOD(R$2,12)=4,MAX(Q21*(1+Assumptions!$G$41),Assumptions!$G55/Den),'Monthly P&amp;L'!Q21)</f>
        <v>0.5</v>
      </c>
      <c r="S21" s="109">
        <f>IF(MOD(S$2,12)=4,MAX(R21*(1+Assumptions!$G$41),Assumptions!$G55/Den),'Monthly P&amp;L'!R21)</f>
        <v>0.5</v>
      </c>
      <c r="T21" s="109">
        <f>IF(MOD(T$2,12)=4,MAX(S21*(1+Assumptions!$G$41),Assumptions!$G55/Den),'Monthly P&amp;L'!S21)</f>
        <v>0.54</v>
      </c>
      <c r="U21" s="109">
        <f>IF(MOD(U$2,12)=4,MAX(T21*(1+Assumptions!$G$41),Assumptions!$G55/Den),'Monthly P&amp;L'!T21)</f>
        <v>0.54</v>
      </c>
      <c r="V21" s="109">
        <f>IF(MOD(V$2,12)=4,MAX(U21*(1+Assumptions!$G$41),Assumptions!$G55/Den),'Monthly P&amp;L'!U21)</f>
        <v>0.54</v>
      </c>
      <c r="W21" s="109">
        <f>IF(MOD(W$2,12)=4,MAX(V21*(1+Assumptions!$G$41),Assumptions!$G55/Den),'Monthly P&amp;L'!V21)</f>
        <v>0.54</v>
      </c>
      <c r="X21" s="109">
        <f>IF(MOD(X$2,12)=4,MAX(W21*(1+Assumptions!$G$41),Assumptions!$G55/Den),'Monthly P&amp;L'!W21)</f>
        <v>0.54</v>
      </c>
      <c r="Y21" s="109">
        <f>IF(MOD(Y$2,12)=4,MAX(X21*(1+Assumptions!$G$41),Assumptions!$G55/Den),'Monthly P&amp;L'!X21)</f>
        <v>0.54</v>
      </c>
      <c r="Z21" s="109">
        <f>IF(MOD(Z$2,12)=4,MAX(Y21*(1+Assumptions!$G$41),Assumptions!$G55/Den),'Monthly P&amp;L'!Y21)</f>
        <v>0.54</v>
      </c>
      <c r="AA21" s="109">
        <f>IF(MOD(AA$2,12)=4,MAX(Z21*(1+Assumptions!$G$41),Assumptions!$G55/Den),'Monthly P&amp;L'!Z21)</f>
        <v>0.54</v>
      </c>
      <c r="AB21" s="109">
        <f>IF(MOD(AB$2,12)=4,MAX(AA21*(1+Assumptions!$G$41),Assumptions!$G55/Den),'Monthly P&amp;L'!AA21)</f>
        <v>0.54</v>
      </c>
      <c r="AC21" s="109">
        <f>IF(MOD(AC$2,12)=4,MAX(AB21*(1+Assumptions!$G$41),Assumptions!$G55/Den),'Monthly P&amp;L'!AB21)</f>
        <v>0.54</v>
      </c>
      <c r="AD21" s="109">
        <f>IF(MOD(AD$2,12)=4,MAX(AC21*(1+Assumptions!$G$41),Assumptions!$G55/Den),'Monthly P&amp;L'!AC21)</f>
        <v>0.54</v>
      </c>
      <c r="AE21" s="109">
        <f>IF(MOD(AE$2,12)=4,MAX(AD21*(1+Assumptions!$G$41),Assumptions!$G55/Den),'Monthly P&amp;L'!AD21)</f>
        <v>0.54</v>
      </c>
      <c r="AF21" s="109">
        <f>IF(MOD(AF$2,12)=4,MAX(AE21*(1+Assumptions!$G$41),Assumptions!$G55/Den),'Monthly P&amp;L'!AE21)</f>
        <v>0.58320000000000005</v>
      </c>
      <c r="AG21" s="109">
        <f>IF(MOD(AG$2,12)=4,MAX(AF21*(1+Assumptions!$G$41),Assumptions!$G55/Den),'Monthly P&amp;L'!AF21)</f>
        <v>0.58320000000000005</v>
      </c>
      <c r="AH21" s="109">
        <f>IF(MOD(AH$2,12)=4,MAX(AG21*(1+Assumptions!$G$41),Assumptions!$G55/Den),'Monthly P&amp;L'!AG21)</f>
        <v>0.58320000000000005</v>
      </c>
      <c r="AI21" s="109">
        <f>IF(MOD(AI$2,12)=4,MAX(AH21*(1+Assumptions!$G$41),Assumptions!$G55/Den),'Monthly P&amp;L'!AH21)</f>
        <v>0.58320000000000005</v>
      </c>
      <c r="AJ21" s="109">
        <f>IF(MOD(AJ$2,12)=4,MAX(AI21*(1+Assumptions!$G$41),Assumptions!$G55/Den),'Monthly P&amp;L'!AI21)</f>
        <v>0.58320000000000005</v>
      </c>
      <c r="AK21" s="109">
        <f>IF(MOD(AK$2,12)=4,MAX(AJ21*(1+Assumptions!$G$41),Assumptions!$G55/Den),'Monthly P&amp;L'!AJ21)</f>
        <v>0.58320000000000005</v>
      </c>
      <c r="AL21" s="109">
        <f>IF(MOD(AL$2,12)=4,MAX(AK21*(1+Assumptions!$G$41),Assumptions!$G55/Den),'Monthly P&amp;L'!AK21)</f>
        <v>0.58320000000000005</v>
      </c>
      <c r="AM21" s="109">
        <f>IF(MOD(AM$2,12)=4,MAX(AL21*(1+Assumptions!$G$41),Assumptions!$G55/Den),'Monthly P&amp;L'!AL21)</f>
        <v>0.58320000000000005</v>
      </c>
      <c r="AN21" s="109">
        <f>IF(MOD(AN$2,12)=4,MAX(AM21*(1+Assumptions!$G$41),Assumptions!$G55/Den),'Monthly P&amp;L'!AM21)</f>
        <v>0.58320000000000005</v>
      </c>
    </row>
    <row r="22" spans="1:40" x14ac:dyDescent="0.25">
      <c r="A22" t="str">
        <f>Assumptions!A56</f>
        <v>Marketing cost (per month)</v>
      </c>
      <c r="E22" s="109">
        <f>IF(MOD(E$2,12)=4,MAX(D22*(1+Assumptions!$G$41),Assumptions!$G56/Den),'Monthly P&amp;L'!D22)</f>
        <v>0</v>
      </c>
      <c r="F22" s="109">
        <f>IF(MOD(F$2,12)=4,MAX(E22*(1+Assumptions!$G$41),Assumptions!$G56/Den),'Monthly P&amp;L'!E22)</f>
        <v>0</v>
      </c>
      <c r="G22" s="109">
        <f>IF(MOD(G$2,12)=4,MAX(F22*(1+Assumptions!$G$41),Assumptions!$G56/Den),'Monthly P&amp;L'!F22)</f>
        <v>0</v>
      </c>
      <c r="H22" s="109">
        <f>IF(MOD(H$2,12)=4,MAX(G22*(1+Assumptions!$G$41),Assumptions!$G56/Den),'Monthly P&amp;L'!G22)</f>
        <v>0.25</v>
      </c>
      <c r="I22" s="109">
        <f>IF(MOD(I$2,12)=4,MAX(H22*(1+Assumptions!$G$41),Assumptions!$G56/Den),'Monthly P&amp;L'!H22)</f>
        <v>0.25</v>
      </c>
      <c r="J22" s="109">
        <f>IF(MOD(J$2,12)=4,MAX(I22*(1+Assumptions!$G$41),Assumptions!$G56/Den),'Monthly P&amp;L'!I22)</f>
        <v>0.25</v>
      </c>
      <c r="K22" s="109">
        <f>IF(MOD(K$2,12)=4,MAX(J22*(1+Assumptions!$G$41),Assumptions!$G56/Den),'Monthly P&amp;L'!J22)</f>
        <v>0.25</v>
      </c>
      <c r="L22" s="109">
        <f>IF(MOD(L$2,12)=4,MAX(K22*(1+Assumptions!$G$41),Assumptions!$G56/Den),'Monthly P&amp;L'!K22)</f>
        <v>0.25</v>
      </c>
      <c r="M22" s="109">
        <f>IF(MOD(M$2,12)=4,MAX(L22*(1+Assumptions!$G$41),Assumptions!$G56/Den),'Monthly P&amp;L'!L22)</f>
        <v>0.25</v>
      </c>
      <c r="N22" s="109">
        <f>IF(MOD(N$2,12)=4,MAX(M22*(1+Assumptions!$G$41),Assumptions!$G56/Den),'Monthly P&amp;L'!M22)</f>
        <v>0.25</v>
      </c>
      <c r="O22" s="109">
        <f>IF(MOD(O$2,12)=4,MAX(N22*(1+Assumptions!$G$41),Assumptions!$G56/Den),'Monthly P&amp;L'!N22)</f>
        <v>0.25</v>
      </c>
      <c r="P22" s="109">
        <f>IF(MOD(P$2,12)=4,MAX(O22*(1+Assumptions!$G$41),Assumptions!$G56/Den),'Monthly P&amp;L'!O22)</f>
        <v>0.25</v>
      </c>
      <c r="Q22" s="109">
        <f>IF(MOD(Q$2,12)=4,MAX(P22*(1+Assumptions!$G$41),Assumptions!$G56/Den),'Monthly P&amp;L'!P22)</f>
        <v>0.25</v>
      </c>
      <c r="R22" s="109">
        <f>IF(MOD(R$2,12)=4,MAX(Q22*(1+Assumptions!$G$41),Assumptions!$G56/Den),'Monthly P&amp;L'!Q22)</f>
        <v>0.25</v>
      </c>
      <c r="S22" s="109">
        <f>IF(MOD(S$2,12)=4,MAX(R22*(1+Assumptions!$G$41),Assumptions!$G56/Den),'Monthly P&amp;L'!R22)</f>
        <v>0.25</v>
      </c>
      <c r="T22" s="109">
        <f>IF(MOD(T$2,12)=4,MAX(S22*(1+Assumptions!$G$41),Assumptions!$G56/Den),'Monthly P&amp;L'!S22)</f>
        <v>0.27</v>
      </c>
      <c r="U22" s="109">
        <f>IF(MOD(U$2,12)=4,MAX(T22*(1+Assumptions!$G$41),Assumptions!$G56/Den),'Monthly P&amp;L'!T22)</f>
        <v>0.27</v>
      </c>
      <c r="V22" s="109">
        <f>IF(MOD(V$2,12)=4,MAX(U22*(1+Assumptions!$G$41),Assumptions!$G56/Den),'Monthly P&amp;L'!U22)</f>
        <v>0.27</v>
      </c>
      <c r="W22" s="109">
        <f>IF(MOD(W$2,12)=4,MAX(V22*(1+Assumptions!$G$41),Assumptions!$G56/Den),'Monthly P&amp;L'!V22)</f>
        <v>0.27</v>
      </c>
      <c r="X22" s="109">
        <f>IF(MOD(X$2,12)=4,MAX(W22*(1+Assumptions!$G$41),Assumptions!$G56/Den),'Monthly P&amp;L'!W22)</f>
        <v>0.27</v>
      </c>
      <c r="Y22" s="109">
        <f>IF(MOD(Y$2,12)=4,MAX(X22*(1+Assumptions!$G$41),Assumptions!$G56/Den),'Monthly P&amp;L'!X22)</f>
        <v>0.27</v>
      </c>
      <c r="Z22" s="109">
        <f>IF(MOD(Z$2,12)=4,MAX(Y22*(1+Assumptions!$G$41),Assumptions!$G56/Den),'Monthly P&amp;L'!Y22)</f>
        <v>0.27</v>
      </c>
      <c r="AA22" s="109">
        <f>IF(MOD(AA$2,12)=4,MAX(Z22*(1+Assumptions!$G$41),Assumptions!$G56/Den),'Monthly P&amp;L'!Z22)</f>
        <v>0.27</v>
      </c>
      <c r="AB22" s="109">
        <f>IF(MOD(AB$2,12)=4,MAX(AA22*(1+Assumptions!$G$41),Assumptions!$G56/Den),'Monthly P&amp;L'!AA22)</f>
        <v>0.27</v>
      </c>
      <c r="AC22" s="109">
        <f>IF(MOD(AC$2,12)=4,MAX(AB22*(1+Assumptions!$G$41),Assumptions!$G56/Den),'Monthly P&amp;L'!AB22)</f>
        <v>0.27</v>
      </c>
      <c r="AD22" s="109">
        <f>IF(MOD(AD$2,12)=4,MAX(AC22*(1+Assumptions!$G$41),Assumptions!$G56/Den),'Monthly P&amp;L'!AC22)</f>
        <v>0.27</v>
      </c>
      <c r="AE22" s="109">
        <f>IF(MOD(AE$2,12)=4,MAX(AD22*(1+Assumptions!$G$41),Assumptions!$G56/Den),'Monthly P&amp;L'!AD22)</f>
        <v>0.27</v>
      </c>
      <c r="AF22" s="109">
        <f>IF(MOD(AF$2,12)=4,MAX(AE22*(1+Assumptions!$G$41),Assumptions!$G56/Den),'Monthly P&amp;L'!AE22)</f>
        <v>0.29160000000000003</v>
      </c>
      <c r="AG22" s="109">
        <f>IF(MOD(AG$2,12)=4,MAX(AF22*(1+Assumptions!$G$41),Assumptions!$G56/Den),'Monthly P&amp;L'!AF22)</f>
        <v>0.29160000000000003</v>
      </c>
      <c r="AH22" s="109">
        <f>IF(MOD(AH$2,12)=4,MAX(AG22*(1+Assumptions!$G$41),Assumptions!$G56/Den),'Monthly P&amp;L'!AG22)</f>
        <v>0.29160000000000003</v>
      </c>
      <c r="AI22" s="109">
        <f>IF(MOD(AI$2,12)=4,MAX(AH22*(1+Assumptions!$G$41),Assumptions!$G56/Den),'Monthly P&amp;L'!AH22)</f>
        <v>0.29160000000000003</v>
      </c>
      <c r="AJ22" s="109">
        <f>IF(MOD(AJ$2,12)=4,MAX(AI22*(1+Assumptions!$G$41),Assumptions!$G56/Den),'Monthly P&amp;L'!AI22)</f>
        <v>0.29160000000000003</v>
      </c>
      <c r="AK22" s="109">
        <f>IF(MOD(AK$2,12)=4,MAX(AJ22*(1+Assumptions!$G$41),Assumptions!$G56/Den),'Monthly P&amp;L'!AJ22)</f>
        <v>0.29160000000000003</v>
      </c>
      <c r="AL22" s="109">
        <f>IF(MOD(AL$2,12)=4,MAX(AK22*(1+Assumptions!$G$41),Assumptions!$G56/Den),'Monthly P&amp;L'!AK22)</f>
        <v>0.29160000000000003</v>
      </c>
      <c r="AM22" s="109">
        <f>IF(MOD(AM$2,12)=4,MAX(AL22*(1+Assumptions!$G$41),Assumptions!$G56/Den),'Monthly P&amp;L'!AL22)</f>
        <v>0.29160000000000003</v>
      </c>
      <c r="AN22" s="109">
        <f>IF(MOD(AN$2,12)=4,MAX(AM22*(1+Assumptions!$G$41),Assumptions!$G56/Den),'Monthly P&amp;L'!AM22)</f>
        <v>0.29160000000000003</v>
      </c>
    </row>
    <row r="23" spans="1:40" x14ac:dyDescent="0.25">
      <c r="A23" t="str">
        <f>Assumptions!A57</f>
        <v>Electricity (Based on area Rs./sq. Ft.)</v>
      </c>
      <c r="E23" s="109">
        <f>IF(MOD(E$2,12)=4,MAX(D23*(1+Assumptions!$G$41),Assumptions!$G57*Assumptions!$G$67/Den),'Monthly P&amp;L'!D23)</f>
        <v>0</v>
      </c>
      <c r="F23" s="109">
        <f>IF(MOD(F$2,12)=4,MAX(E23*(1+Assumptions!$G$41),Assumptions!$G57*Assumptions!$G$67/Den),'Monthly P&amp;L'!E23)</f>
        <v>0</v>
      </c>
      <c r="G23" s="109">
        <f>IF(MOD(G$2,12)=4,MAX(F23*(1+Assumptions!$G$41),Assumptions!$G57*Assumptions!$G$67/Den),'Monthly P&amp;L'!F23)</f>
        <v>0</v>
      </c>
      <c r="H23" s="109">
        <f>IF(MOD(H$2,12)=4,MAX(G23*(1+Assumptions!$G$41),Assumptions!$G57*Assumptions!$G$67/Den),'Monthly P&amp;L'!G23)</f>
        <v>0.26600000000000001</v>
      </c>
      <c r="I23" s="109">
        <f>IF(MOD(I$2,12)=4,MAX(H23*(1+Assumptions!$G$41),Assumptions!$G57*Assumptions!$G$67/Den),'Monthly P&amp;L'!H23)</f>
        <v>0.26600000000000001</v>
      </c>
      <c r="J23" s="109">
        <f>IF(MOD(J$2,12)=4,MAX(I23*(1+Assumptions!$G$41),Assumptions!$G57*Assumptions!$G$67/Den),'Monthly P&amp;L'!I23)</f>
        <v>0.26600000000000001</v>
      </c>
      <c r="K23" s="109">
        <f>IF(MOD(K$2,12)=4,MAX(J23*(1+Assumptions!$G$41),Assumptions!$G57*Assumptions!$G$67/Den),'Monthly P&amp;L'!J23)</f>
        <v>0.26600000000000001</v>
      </c>
      <c r="L23" s="109">
        <f>IF(MOD(L$2,12)=4,MAX(K23*(1+Assumptions!$G$41),Assumptions!$G57*Assumptions!$G$67/Den),'Monthly P&amp;L'!K23)</f>
        <v>0.26600000000000001</v>
      </c>
      <c r="M23" s="109">
        <f>IF(MOD(M$2,12)=4,MAX(L23*(1+Assumptions!$G$41),Assumptions!$G57*Assumptions!$G$67/Den),'Monthly P&amp;L'!L23)</f>
        <v>0.26600000000000001</v>
      </c>
      <c r="N23" s="109">
        <f>IF(MOD(N$2,12)=4,MAX(M23*(1+Assumptions!$G$41),Assumptions!$G57*Assumptions!$G$67/Den),'Monthly P&amp;L'!M23)</f>
        <v>0.26600000000000001</v>
      </c>
      <c r="O23" s="109">
        <f>IF(MOD(O$2,12)=4,MAX(N23*(1+Assumptions!$G$41),Assumptions!$G57*Assumptions!$G$67/Den),'Monthly P&amp;L'!N23)</f>
        <v>0.26600000000000001</v>
      </c>
      <c r="P23" s="109">
        <f>IF(MOD(P$2,12)=4,MAX(O23*(1+Assumptions!$G$41),Assumptions!$G57*Assumptions!$G$67/Den),'Monthly P&amp;L'!O23)</f>
        <v>0.26600000000000001</v>
      </c>
      <c r="Q23" s="109">
        <f>IF(MOD(Q$2,12)=4,MAX(P23*(1+Assumptions!$G$41),Assumptions!$G57*Assumptions!$G$67/Den),'Monthly P&amp;L'!P23)</f>
        <v>0.26600000000000001</v>
      </c>
      <c r="R23" s="109">
        <f>IF(MOD(R$2,12)=4,MAX(Q23*(1+Assumptions!$G$41),Assumptions!$G57*Assumptions!$G$67/Den),'Monthly P&amp;L'!Q23)</f>
        <v>0.26600000000000001</v>
      </c>
      <c r="S23" s="109">
        <f>IF(MOD(S$2,12)=4,MAX(R23*(1+Assumptions!$G$41),Assumptions!$G57*Assumptions!$G$67/Den),'Monthly P&amp;L'!R23)</f>
        <v>0.26600000000000001</v>
      </c>
      <c r="T23" s="109">
        <f>IF(MOD(T$2,12)=4,MAX(S23*(1+Assumptions!$G$41),Assumptions!$G57*Assumptions!$G$67/Den),'Monthly P&amp;L'!S23)</f>
        <v>0.28728000000000004</v>
      </c>
      <c r="U23" s="109">
        <f>IF(MOD(U$2,12)=4,MAX(T23*(1+Assumptions!$G$41),Assumptions!$G57*Assumptions!$G$67/Den),'Monthly P&amp;L'!T23)</f>
        <v>0.28728000000000004</v>
      </c>
      <c r="V23" s="109">
        <f>IF(MOD(V$2,12)=4,MAX(U23*(1+Assumptions!$G$41),Assumptions!$G57*Assumptions!$G$67/Den),'Monthly P&amp;L'!U23)</f>
        <v>0.28728000000000004</v>
      </c>
      <c r="W23" s="109">
        <f>IF(MOD(W$2,12)=4,MAX(V23*(1+Assumptions!$G$41),Assumptions!$G57*Assumptions!$G$67/Den),'Monthly P&amp;L'!V23)</f>
        <v>0.28728000000000004</v>
      </c>
      <c r="X23" s="109">
        <f>IF(MOD(X$2,12)=4,MAX(W23*(1+Assumptions!$G$41),Assumptions!$G57*Assumptions!$G$67/Den),'Monthly P&amp;L'!W23)</f>
        <v>0.28728000000000004</v>
      </c>
      <c r="Y23" s="109">
        <f>IF(MOD(Y$2,12)=4,MAX(X23*(1+Assumptions!$G$41),Assumptions!$G57*Assumptions!$G$67/Den),'Monthly P&amp;L'!X23)</f>
        <v>0.28728000000000004</v>
      </c>
      <c r="Z23" s="109">
        <f>IF(MOD(Z$2,12)=4,MAX(Y23*(1+Assumptions!$G$41),Assumptions!$G57*Assumptions!$G$67/Den),'Monthly P&amp;L'!Y23)</f>
        <v>0.28728000000000004</v>
      </c>
      <c r="AA23" s="109">
        <f>IF(MOD(AA$2,12)=4,MAX(Z23*(1+Assumptions!$G$41),Assumptions!$G57*Assumptions!$G$67/Den),'Monthly P&amp;L'!Z23)</f>
        <v>0.28728000000000004</v>
      </c>
      <c r="AB23" s="109">
        <f>IF(MOD(AB$2,12)=4,MAX(AA23*(1+Assumptions!$G$41),Assumptions!$G57*Assumptions!$G$67/Den),'Monthly P&amp;L'!AA23)</f>
        <v>0.28728000000000004</v>
      </c>
      <c r="AC23" s="109">
        <f>IF(MOD(AC$2,12)=4,MAX(AB23*(1+Assumptions!$G$41),Assumptions!$G57*Assumptions!$G$67/Den),'Monthly P&amp;L'!AB23)</f>
        <v>0.28728000000000004</v>
      </c>
      <c r="AD23" s="109">
        <f>IF(MOD(AD$2,12)=4,MAX(AC23*(1+Assumptions!$G$41),Assumptions!$G57*Assumptions!$G$67/Den),'Monthly P&amp;L'!AC23)</f>
        <v>0.28728000000000004</v>
      </c>
      <c r="AE23" s="109">
        <f>IF(MOD(AE$2,12)=4,MAX(AD23*(1+Assumptions!$G$41),Assumptions!$G57*Assumptions!$G$67/Den),'Monthly P&amp;L'!AD23)</f>
        <v>0.28728000000000004</v>
      </c>
      <c r="AF23" s="109">
        <f>IF(MOD(AF$2,12)=4,MAX(AE23*(1+Assumptions!$G$41),Assumptions!$G57*Assumptions!$G$67/Den),'Monthly P&amp;L'!AE23)</f>
        <v>0.31026240000000005</v>
      </c>
      <c r="AG23" s="109">
        <f>IF(MOD(AG$2,12)=4,MAX(AF23*(1+Assumptions!$G$41),Assumptions!$G57*Assumptions!$G$67/Den),'Monthly P&amp;L'!AF23)</f>
        <v>0.31026240000000005</v>
      </c>
      <c r="AH23" s="109">
        <f>IF(MOD(AH$2,12)=4,MAX(AG23*(1+Assumptions!$G$41),Assumptions!$G57*Assumptions!$G$67/Den),'Monthly P&amp;L'!AG23)</f>
        <v>0.31026240000000005</v>
      </c>
      <c r="AI23" s="109">
        <f>IF(MOD(AI$2,12)=4,MAX(AH23*(1+Assumptions!$G$41),Assumptions!$G57*Assumptions!$G$67/Den),'Monthly P&amp;L'!AH23)</f>
        <v>0.31026240000000005</v>
      </c>
      <c r="AJ23" s="109">
        <f>IF(MOD(AJ$2,12)=4,MAX(AI23*(1+Assumptions!$G$41),Assumptions!$G57*Assumptions!$G$67/Den),'Monthly P&amp;L'!AI23)</f>
        <v>0.31026240000000005</v>
      </c>
      <c r="AK23" s="109">
        <f>IF(MOD(AK$2,12)=4,MAX(AJ23*(1+Assumptions!$G$41),Assumptions!$G57*Assumptions!$G$67/Den),'Monthly P&amp;L'!AJ23)</f>
        <v>0.31026240000000005</v>
      </c>
      <c r="AL23" s="109">
        <f>IF(MOD(AL$2,12)=4,MAX(AK23*(1+Assumptions!$G$41),Assumptions!$G57*Assumptions!$G$67/Den),'Monthly P&amp;L'!AK23)</f>
        <v>0.31026240000000005</v>
      </c>
      <c r="AM23" s="109">
        <f>IF(MOD(AM$2,12)=4,MAX(AL23*(1+Assumptions!$G$41),Assumptions!$G57*Assumptions!$G$67/Den),'Monthly P&amp;L'!AL23)</f>
        <v>0.31026240000000005</v>
      </c>
      <c r="AN23" s="109">
        <f>IF(MOD(AN$2,12)=4,MAX(AM23*(1+Assumptions!$G$41),Assumptions!$G57*Assumptions!$G$67/Den),'Monthly P&amp;L'!AM23)</f>
        <v>0.31026240000000005</v>
      </c>
    </row>
    <row r="24" spans="1:40" x14ac:dyDescent="0.25">
      <c r="A24" t="str">
        <f>Assumptions!A58</f>
        <v>Phone and internet (per month)</v>
      </c>
      <c r="E24" s="109">
        <f>IF(MOD(E$2,12)=4,MAX(D24*(1+Assumptions!$G$41),Assumptions!$G58/Den),'Monthly P&amp;L'!D24)</f>
        <v>0</v>
      </c>
      <c r="F24" s="109">
        <f>IF(MOD(F$2,12)=4,MAX(E24*(1+Assumptions!$G$41),Assumptions!$G58/Den),'Monthly P&amp;L'!E24)</f>
        <v>0</v>
      </c>
      <c r="G24" s="109">
        <f>IF(MOD(G$2,12)=4,MAX(F24*(1+Assumptions!$G$41),Assumptions!$G58/Den),'Monthly P&amp;L'!F24)</f>
        <v>0</v>
      </c>
      <c r="H24" s="109">
        <f>IF(MOD(H$2,12)=4,MAX(G24*(1+Assumptions!$G$41),Assumptions!$G58/Den),'Monthly P&amp;L'!G24)</f>
        <v>0.15</v>
      </c>
      <c r="I24" s="109">
        <f>IF(MOD(I$2,12)=4,MAX(H24*(1+Assumptions!$G$41),Assumptions!$G58/Den),'Monthly P&amp;L'!H24)</f>
        <v>0.15</v>
      </c>
      <c r="J24" s="109">
        <f>IF(MOD(J$2,12)=4,MAX(I24*(1+Assumptions!$G$41),Assumptions!$G58/Den),'Monthly P&amp;L'!I24)</f>
        <v>0.15</v>
      </c>
      <c r="K24" s="109">
        <f>IF(MOD(K$2,12)=4,MAX(J24*(1+Assumptions!$G$41),Assumptions!$G58/Den),'Monthly P&amp;L'!J24)</f>
        <v>0.15</v>
      </c>
      <c r="L24" s="109">
        <f>IF(MOD(L$2,12)=4,MAX(K24*(1+Assumptions!$G$41),Assumptions!$G58/Den),'Monthly P&amp;L'!K24)</f>
        <v>0.15</v>
      </c>
      <c r="M24" s="109">
        <f>IF(MOD(M$2,12)=4,MAX(L24*(1+Assumptions!$G$41),Assumptions!$G58/Den),'Monthly P&amp;L'!L24)</f>
        <v>0.15</v>
      </c>
      <c r="N24" s="109">
        <f>IF(MOD(N$2,12)=4,MAX(M24*(1+Assumptions!$G$41),Assumptions!$G58/Den),'Monthly P&amp;L'!M24)</f>
        <v>0.15</v>
      </c>
      <c r="O24" s="109">
        <f>IF(MOD(O$2,12)=4,MAX(N24*(1+Assumptions!$G$41),Assumptions!$G58/Den),'Monthly P&amp;L'!N24)</f>
        <v>0.15</v>
      </c>
      <c r="P24" s="109">
        <f>IF(MOD(P$2,12)=4,MAX(O24*(1+Assumptions!$G$41),Assumptions!$G58/Den),'Monthly P&amp;L'!O24)</f>
        <v>0.15</v>
      </c>
      <c r="Q24" s="109">
        <f>IF(MOD(Q$2,12)=4,MAX(P24*(1+Assumptions!$G$41),Assumptions!$G58/Den),'Monthly P&amp;L'!P24)</f>
        <v>0.15</v>
      </c>
      <c r="R24" s="109">
        <f>IF(MOD(R$2,12)=4,MAX(Q24*(1+Assumptions!$G$41),Assumptions!$G58/Den),'Monthly P&amp;L'!Q24)</f>
        <v>0.15</v>
      </c>
      <c r="S24" s="109">
        <f>IF(MOD(S$2,12)=4,MAX(R24*(1+Assumptions!$G$41),Assumptions!$G58/Den),'Monthly P&amp;L'!R24)</f>
        <v>0.15</v>
      </c>
      <c r="T24" s="109">
        <f>IF(MOD(T$2,12)=4,MAX(S24*(1+Assumptions!$G$41),Assumptions!$G58/Den),'Monthly P&amp;L'!S24)</f>
        <v>0.16200000000000001</v>
      </c>
      <c r="U24" s="109">
        <f>IF(MOD(U$2,12)=4,MAX(T24*(1+Assumptions!$G$41),Assumptions!$G58/Den),'Monthly P&amp;L'!T24)</f>
        <v>0.16200000000000001</v>
      </c>
      <c r="V24" s="109">
        <f>IF(MOD(V$2,12)=4,MAX(U24*(1+Assumptions!$G$41),Assumptions!$G58/Den),'Monthly P&amp;L'!U24)</f>
        <v>0.16200000000000001</v>
      </c>
      <c r="W24" s="109">
        <f>IF(MOD(W$2,12)=4,MAX(V24*(1+Assumptions!$G$41),Assumptions!$G58/Den),'Monthly P&amp;L'!V24)</f>
        <v>0.16200000000000001</v>
      </c>
      <c r="X24" s="109">
        <f>IF(MOD(X$2,12)=4,MAX(W24*(1+Assumptions!$G$41),Assumptions!$G58/Den),'Monthly P&amp;L'!W24)</f>
        <v>0.16200000000000001</v>
      </c>
      <c r="Y24" s="109">
        <f>IF(MOD(Y$2,12)=4,MAX(X24*(1+Assumptions!$G$41),Assumptions!$G58/Den),'Monthly P&amp;L'!X24)</f>
        <v>0.16200000000000001</v>
      </c>
      <c r="Z24" s="109">
        <f>IF(MOD(Z$2,12)=4,MAX(Y24*(1+Assumptions!$G$41),Assumptions!$G58/Den),'Monthly P&amp;L'!Y24)</f>
        <v>0.16200000000000001</v>
      </c>
      <c r="AA24" s="109">
        <f>IF(MOD(AA$2,12)=4,MAX(Z24*(1+Assumptions!$G$41),Assumptions!$G58/Den),'Monthly P&amp;L'!Z24)</f>
        <v>0.16200000000000001</v>
      </c>
      <c r="AB24" s="109">
        <f>IF(MOD(AB$2,12)=4,MAX(AA24*(1+Assumptions!$G$41),Assumptions!$G58/Den),'Monthly P&amp;L'!AA24)</f>
        <v>0.16200000000000001</v>
      </c>
      <c r="AC24" s="109">
        <f>IF(MOD(AC$2,12)=4,MAX(AB24*(1+Assumptions!$G$41),Assumptions!$G58/Den),'Monthly P&amp;L'!AB24)</f>
        <v>0.16200000000000001</v>
      </c>
      <c r="AD24" s="109">
        <f>IF(MOD(AD$2,12)=4,MAX(AC24*(1+Assumptions!$G$41),Assumptions!$G58/Den),'Monthly P&amp;L'!AC24)</f>
        <v>0.16200000000000001</v>
      </c>
      <c r="AE24" s="109">
        <f>IF(MOD(AE$2,12)=4,MAX(AD24*(1+Assumptions!$G$41),Assumptions!$G58/Den),'Monthly P&amp;L'!AD24)</f>
        <v>0.16200000000000001</v>
      </c>
      <c r="AF24" s="109">
        <f>IF(MOD(AF$2,12)=4,MAX(AE24*(1+Assumptions!$G$41),Assumptions!$G58/Den),'Monthly P&amp;L'!AE24)</f>
        <v>0.17496</v>
      </c>
      <c r="AG24" s="109">
        <f>IF(MOD(AG$2,12)=4,MAX(AF24*(1+Assumptions!$G$41),Assumptions!$G58/Den),'Monthly P&amp;L'!AF24)</f>
        <v>0.17496</v>
      </c>
      <c r="AH24" s="109">
        <f>IF(MOD(AH$2,12)=4,MAX(AG24*(1+Assumptions!$G$41),Assumptions!$G58/Den),'Monthly P&amp;L'!AG24)</f>
        <v>0.17496</v>
      </c>
      <c r="AI24" s="109">
        <f>IF(MOD(AI$2,12)=4,MAX(AH24*(1+Assumptions!$G$41),Assumptions!$G58/Den),'Monthly P&amp;L'!AH24)</f>
        <v>0.17496</v>
      </c>
      <c r="AJ24" s="109">
        <f>IF(MOD(AJ$2,12)=4,MAX(AI24*(1+Assumptions!$G$41),Assumptions!$G58/Den),'Monthly P&amp;L'!AI24)</f>
        <v>0.17496</v>
      </c>
      <c r="AK24" s="109">
        <f>IF(MOD(AK$2,12)=4,MAX(AJ24*(1+Assumptions!$G$41),Assumptions!$G58/Den),'Monthly P&amp;L'!AJ24)</f>
        <v>0.17496</v>
      </c>
      <c r="AL24" s="109">
        <f>IF(MOD(AL$2,12)=4,MAX(AK24*(1+Assumptions!$G$41),Assumptions!$G58/Den),'Monthly P&amp;L'!AK24)</f>
        <v>0.17496</v>
      </c>
      <c r="AM24" s="109">
        <f>IF(MOD(AM$2,12)=4,MAX(AL24*(1+Assumptions!$G$41),Assumptions!$G58/Den),'Monthly P&amp;L'!AL24)</f>
        <v>0.17496</v>
      </c>
      <c r="AN24" s="109">
        <f>IF(MOD(AN$2,12)=4,MAX(AM24*(1+Assumptions!$G$41),Assumptions!$G58/Den),'Monthly P&amp;L'!AM24)</f>
        <v>0.17496</v>
      </c>
    </row>
    <row r="25" spans="1:40" x14ac:dyDescent="0.25">
      <c r="A25" t="str">
        <f>Assumptions!A59</f>
        <v>Housekeeping  &amp; Consumables (% of revenue)</v>
      </c>
      <c r="E25" s="109">
        <f>E8*Assumptions!$G$59</f>
        <v>0</v>
      </c>
      <c r="F25" s="109">
        <f>F8*Assumptions!$G$59</f>
        <v>0</v>
      </c>
      <c r="G25" s="109">
        <f>G8*Assumptions!$G$59</f>
        <v>0</v>
      </c>
      <c r="H25" s="109">
        <f>H8*Assumptions!$G$59</f>
        <v>0.49127999999999999</v>
      </c>
      <c r="I25" s="109">
        <f>I8*Assumptions!$G$59</f>
        <v>0.51723040000000009</v>
      </c>
      <c r="J25" s="109">
        <f>J8*Assumptions!$G$59</f>
        <v>0.50290028799999997</v>
      </c>
      <c r="K25" s="109">
        <f>K8*Assumptions!$G$59</f>
        <v>0.53922819456000004</v>
      </c>
      <c r="L25" s="109">
        <f>L8*Assumptions!$G$59</f>
        <v>0.53861043444480017</v>
      </c>
      <c r="M25" s="109">
        <f>M8*Assumptions!$G$59</f>
        <v>0.56064049129856008</v>
      </c>
      <c r="N25" s="109">
        <f>N8*Assumptions!$G$59</f>
        <v>0.5947601320646605</v>
      </c>
      <c r="O25" s="109">
        <f>O8*Assumptions!$G$59</f>
        <v>0.54205924890862112</v>
      </c>
      <c r="P25" s="109">
        <f>P8*Assumptions!$G$59</f>
        <v>0.60749643436852818</v>
      </c>
      <c r="Q25" s="109">
        <f>Q8*Assumptions!$G$59</f>
        <v>0.60696461148605974</v>
      </c>
      <c r="R25" s="109">
        <f>R8*Assumptions!$G$59</f>
        <v>0.66617744524829636</v>
      </c>
      <c r="S25" s="109">
        <f>S8*Assumptions!$G$59</f>
        <v>0.64098104291518876</v>
      </c>
      <c r="T25" s="109">
        <f>T8*Assumptions!$G$59</f>
        <v>0.72575047008793692</v>
      </c>
      <c r="U25" s="109">
        <f>U8*Assumptions!$G$59</f>
        <v>0.74639000409731548</v>
      </c>
      <c r="V25" s="109">
        <f>V8*Assumptions!$G$59</f>
        <v>0.73088572190673207</v>
      </c>
      <c r="W25" s="109">
        <f>W8*Assumptions!$G$59</f>
        <v>0.80770251682620386</v>
      </c>
      <c r="X25" s="109">
        <f>X8*Assumptions!$G$59</f>
        <v>0.77254330843188823</v>
      </c>
      <c r="Y25" s="109">
        <f>Y8*Assumptions!$G$59</f>
        <v>0.81541694016897459</v>
      </c>
      <c r="Z25" s="109">
        <f>Z8*Assumptions!$G$59</f>
        <v>0.88150384799793924</v>
      </c>
      <c r="AA25" s="109">
        <f>AA8*Assumptions!$G$59</f>
        <v>0.79629032530830002</v>
      </c>
      <c r="AB25" s="109">
        <f>AB8*Assumptions!$G$59</f>
        <v>0.88640820834237244</v>
      </c>
      <c r="AC25" s="109">
        <f>AC8*Assumptions!$G$59</f>
        <v>0.91443615305841719</v>
      </c>
      <c r="AD25" s="109">
        <f>AD8*Assumptions!$G$59</f>
        <v>0.96468733466886336</v>
      </c>
      <c r="AE25" s="109">
        <f>AE8*Assumptions!$G$59</f>
        <v>0.94066673918716648</v>
      </c>
      <c r="AF25" s="109">
        <f>AF8*Assumptions!$G$59</f>
        <v>1.1052584689314995</v>
      </c>
      <c r="AG25" s="109">
        <f>AG8*Assumptions!$G$59</f>
        <v>1.0716324355673101</v>
      </c>
      <c r="AH25" s="109">
        <f>AH8*Assumptions!$G$59</f>
        <v>1.0761634251972754</v>
      </c>
      <c r="AI25" s="109">
        <f>AI8*Assumptions!$G$59</f>
        <v>1.2093197929248252</v>
      </c>
      <c r="AJ25" s="109">
        <f>AJ8*Assumptions!$G$59</f>
        <v>1.1400316438589175</v>
      </c>
      <c r="AK25" s="109">
        <f>AK8*Assumptions!$G$59</f>
        <v>1.2260484776325025</v>
      </c>
      <c r="AL25" s="109">
        <f>AL8*Assumptions!$G$59</f>
        <v>1.2383846171851527</v>
      </c>
      <c r="AM25" s="109">
        <f>AM8*Assumptions!$G$59</f>
        <v>1.1249352541171416</v>
      </c>
      <c r="AN25" s="109">
        <f>AN8*Assumptions!$G$59</f>
        <v>1.225861249079407</v>
      </c>
    </row>
    <row r="26" spans="1:40" x14ac:dyDescent="0.25">
      <c r="A26" t="str">
        <f>Assumptions!A60</f>
        <v>Payment Settlement Charges (% or revenue)</v>
      </c>
      <c r="E26" s="109">
        <f>E8*Assumptions!$G$61*Assumptions!$G$60</f>
        <v>0</v>
      </c>
      <c r="F26" s="109">
        <f>F8*Assumptions!$G$61*Assumptions!$G$60</f>
        <v>0</v>
      </c>
      <c r="G26" s="109">
        <f>G8*Assumptions!$G$61*Assumptions!$G$60</f>
        <v>0</v>
      </c>
      <c r="H26" s="109">
        <f>H8*Assumptions!$G$61*Assumptions!$G$60</f>
        <v>0.18423</v>
      </c>
      <c r="I26" s="109">
        <f>I8*Assumptions!$G$61*Assumptions!$G$60</f>
        <v>0.19396140000000001</v>
      </c>
      <c r="J26" s="109">
        <f>J8*Assumptions!$G$61*Assumptions!$G$60</f>
        <v>0.18858760799999999</v>
      </c>
      <c r="K26" s="109">
        <f>K8*Assumptions!$G$61*Assumptions!$G$60</f>
        <v>0.20221057296000003</v>
      </c>
      <c r="L26" s="109">
        <f>L8*Assumptions!$G$61*Assumptions!$G$60</f>
        <v>0.20197891291680004</v>
      </c>
      <c r="M26" s="109">
        <f>M8*Assumptions!$G$61*Assumptions!$G$60</f>
        <v>0.21024018423696003</v>
      </c>
      <c r="N26" s="109">
        <f>N8*Assumptions!$G$61*Assumptions!$G$60</f>
        <v>0.22303504952424769</v>
      </c>
      <c r="O26" s="109">
        <f>O8*Assumptions!$G$61*Assumptions!$G$60</f>
        <v>0.20327221834073289</v>
      </c>
      <c r="P26" s="109">
        <f>P8*Assumptions!$G$61*Assumptions!$G$60</f>
        <v>0.22781116288819805</v>
      </c>
      <c r="Q26" s="109">
        <f>Q8*Assumptions!$G$61*Assumptions!$G$60</f>
        <v>0.22761172930727241</v>
      </c>
      <c r="R26" s="109">
        <f>R8*Assumptions!$G$61*Assumptions!$G$60</f>
        <v>0.24981654196811112</v>
      </c>
      <c r="S26" s="109">
        <f>S8*Assumptions!$G$61*Assumptions!$G$60</f>
        <v>0.24036789109319578</v>
      </c>
      <c r="T26" s="109">
        <f>T8*Assumptions!$G$61*Assumptions!$G$60</f>
        <v>0.27215642628297632</v>
      </c>
      <c r="U26" s="109">
        <f>U8*Assumptions!$G$61*Assumptions!$G$60</f>
        <v>0.27989625153649328</v>
      </c>
      <c r="V26" s="109">
        <f>V8*Assumptions!$G$61*Assumptions!$G$60</f>
        <v>0.27408214571502448</v>
      </c>
      <c r="W26" s="109">
        <f>W8*Assumptions!$G$61*Assumptions!$G$60</f>
        <v>0.30288844380982644</v>
      </c>
      <c r="X26" s="109">
        <f>X8*Assumptions!$G$61*Assumptions!$G$60</f>
        <v>0.28970374066195809</v>
      </c>
      <c r="Y26" s="109">
        <f>Y8*Assumptions!$G$61*Assumptions!$G$60</f>
        <v>0.30578135256336542</v>
      </c>
      <c r="Z26" s="109">
        <f>Z8*Assumptions!$G$61*Assumptions!$G$60</f>
        <v>0.3305639429992272</v>
      </c>
      <c r="AA26" s="109">
        <f>AA8*Assumptions!$G$61*Assumptions!$G$60</f>
        <v>0.29860887199061248</v>
      </c>
      <c r="AB26" s="109">
        <f>AB8*Assumptions!$G$61*Assumptions!$G$60</f>
        <v>0.33240307812838965</v>
      </c>
      <c r="AC26" s="109">
        <f>AC8*Assumptions!$G$61*Assumptions!$G$60</f>
        <v>0.34291355739690643</v>
      </c>
      <c r="AD26" s="109">
        <f>AD8*Assumptions!$G$61*Assumptions!$G$60</f>
        <v>0.36175775050082376</v>
      </c>
      <c r="AE26" s="109">
        <f>AE8*Assumptions!$G$61*Assumptions!$G$60</f>
        <v>0.35275002719518739</v>
      </c>
      <c r="AF26" s="109">
        <f>AF8*Assumptions!$G$61*Assumptions!$G$60</f>
        <v>0.41447192584931231</v>
      </c>
      <c r="AG26" s="109">
        <f>AG8*Assumptions!$G$61*Assumptions!$G$60</f>
        <v>0.40186216333774127</v>
      </c>
      <c r="AH26" s="109">
        <f>AH8*Assumptions!$G$61*Assumptions!$G$60</f>
        <v>0.40356128444897826</v>
      </c>
      <c r="AI26" s="109">
        <f>AI8*Assumptions!$G$61*Assumptions!$G$60</f>
        <v>0.45349492234680938</v>
      </c>
      <c r="AJ26" s="109">
        <f>AJ8*Assumptions!$G$61*Assumptions!$G$60</f>
        <v>0.42751186644709405</v>
      </c>
      <c r="AK26" s="109">
        <f>AK8*Assumptions!$G$61*Assumptions!$G$60</f>
        <v>0.45976817911218842</v>
      </c>
      <c r="AL26" s="109">
        <f>AL8*Assumptions!$G$61*Assumptions!$G$60</f>
        <v>0.4643942314444322</v>
      </c>
      <c r="AM26" s="109">
        <f>AM8*Assumptions!$G$61*Assumptions!$G$60</f>
        <v>0.42185072029392806</v>
      </c>
      <c r="AN26" s="109">
        <f>AN8*Assumptions!$G$61*Assumptions!$G$60</f>
        <v>0.45969796840477761</v>
      </c>
    </row>
    <row r="27" spans="1:40" s="109" customFormat="1" x14ac:dyDescent="0.25">
      <c r="A27" s="117" t="s">
        <v>125</v>
      </c>
      <c r="B27" s="121"/>
      <c r="C27" s="121"/>
      <c r="D27" s="121"/>
      <c r="E27" s="119">
        <f>SUM(E17:E26)</f>
        <v>0</v>
      </c>
      <c r="F27" s="119">
        <f t="shared" ref="F27:AN27" si="3">SUM(F17:F26)</f>
        <v>0</v>
      </c>
      <c r="G27" s="119">
        <f t="shared" si="3"/>
        <v>0</v>
      </c>
      <c r="H27" s="119">
        <f t="shared" si="3"/>
        <v>9.4261099999999995</v>
      </c>
      <c r="I27" s="119">
        <f t="shared" si="3"/>
        <v>9.6564198000000001</v>
      </c>
      <c r="J27" s="119">
        <f t="shared" si="3"/>
        <v>9.5292400560000008</v>
      </c>
      <c r="K27" s="119">
        <f t="shared" si="3"/>
        <v>9.8516502267200003</v>
      </c>
      <c r="L27" s="119">
        <f t="shared" si="3"/>
        <v>9.8461676056976017</v>
      </c>
      <c r="M27" s="119">
        <f t="shared" si="3"/>
        <v>10.041684360274722</v>
      </c>
      <c r="N27" s="119">
        <f t="shared" si="3"/>
        <v>10.34449617207386</v>
      </c>
      <c r="O27" s="119">
        <f t="shared" si="3"/>
        <v>9.8767758340640128</v>
      </c>
      <c r="P27" s="119">
        <f t="shared" si="3"/>
        <v>10.457530855020687</v>
      </c>
      <c r="Q27" s="119">
        <f t="shared" si="3"/>
        <v>10.452810926938781</v>
      </c>
      <c r="R27" s="119">
        <f t="shared" si="3"/>
        <v>10.978324826578628</v>
      </c>
      <c r="S27" s="119">
        <f t="shared" si="3"/>
        <v>10.754706755872302</v>
      </c>
      <c r="T27" s="119">
        <f t="shared" si="3"/>
        <v>11.91231542203044</v>
      </c>
      <c r="U27" s="119">
        <f t="shared" si="3"/>
        <v>12.095491286363679</v>
      </c>
      <c r="V27" s="119">
        <f t="shared" si="3"/>
        <v>11.957890781922247</v>
      </c>
      <c r="W27" s="119">
        <f t="shared" si="3"/>
        <v>12.63963983683256</v>
      </c>
      <c r="X27" s="119">
        <f t="shared" si="3"/>
        <v>12.32760186233301</v>
      </c>
      <c r="Y27" s="119">
        <f t="shared" si="3"/>
        <v>12.70810534399965</v>
      </c>
      <c r="Z27" s="119">
        <f t="shared" si="3"/>
        <v>13.29462665098171</v>
      </c>
      <c r="AA27" s="119">
        <f t="shared" si="3"/>
        <v>12.538356637111166</v>
      </c>
      <c r="AB27" s="119">
        <f t="shared" si="3"/>
        <v>13.338152849038556</v>
      </c>
      <c r="AC27" s="119">
        <f t="shared" si="3"/>
        <v>13.586900858393454</v>
      </c>
      <c r="AD27" s="119">
        <f t="shared" si="3"/>
        <v>14.032880095186163</v>
      </c>
      <c r="AE27" s="119">
        <f t="shared" si="3"/>
        <v>13.819697310286102</v>
      </c>
      <c r="AF27" s="119">
        <f t="shared" si="3"/>
        <v>15.718151311767061</v>
      </c>
      <c r="AG27" s="119">
        <f t="shared" si="3"/>
        <v>15.41972026565988</v>
      </c>
      <c r="AH27" s="119">
        <f t="shared" si="3"/>
        <v>15.459932798625822</v>
      </c>
      <c r="AI27" s="119">
        <f t="shared" si="3"/>
        <v>16.641695562207826</v>
      </c>
      <c r="AJ27" s="119">
        <f t="shared" si="3"/>
        <v>16.026763239247895</v>
      </c>
      <c r="AK27" s="119">
        <f t="shared" si="3"/>
        <v>16.790162638988459</v>
      </c>
      <c r="AL27" s="119">
        <f t="shared" si="3"/>
        <v>16.899645877518232</v>
      </c>
      <c r="AM27" s="119">
        <f t="shared" si="3"/>
        <v>15.892782780289636</v>
      </c>
      <c r="AN27" s="119">
        <f t="shared" si="3"/>
        <v>16.788500985579741</v>
      </c>
    </row>
    <row r="29" spans="1:40" x14ac:dyDescent="0.25">
      <c r="A29" s="9" t="s">
        <v>126</v>
      </c>
      <c r="E29" s="109">
        <f>E8-E15-E27</f>
        <v>0</v>
      </c>
      <c r="F29" s="109">
        <f t="shared" ref="F29:AN29" si="4">F8-F15-F27</f>
        <v>0</v>
      </c>
      <c r="G29" s="109">
        <f t="shared" si="4"/>
        <v>0</v>
      </c>
      <c r="H29" s="109">
        <f t="shared" si="4"/>
        <v>-2.7231099999999966</v>
      </c>
      <c r="I29" s="109">
        <f t="shared" si="4"/>
        <v>-2.087143799999998</v>
      </c>
      <c r="J29" s="109">
        <f t="shared" si="4"/>
        <v>-2.4364936559999979</v>
      </c>
      <c r="K29" s="109">
        <f t="shared" si="4"/>
        <v>-1.5379771547199965</v>
      </c>
      <c r="L29" s="109">
        <f t="shared" si="4"/>
        <v>-1.5551297592015985</v>
      </c>
      <c r="M29" s="109">
        <f t="shared" si="4"/>
        <v>-1.0028971144616001</v>
      </c>
      <c r="N29" s="109">
        <f t="shared" si="4"/>
        <v>-0.16570115366440064</v>
      </c>
      <c r="O29" s="109">
        <f t="shared" si="4"/>
        <v>-1.4692145346752454</v>
      </c>
      <c r="P29" s="109">
        <f t="shared" si="4"/>
        <v>0.15898567152683007</v>
      </c>
      <c r="Q29" s="109">
        <f t="shared" si="4"/>
        <v>0.14383002404787604</v>
      </c>
      <c r="R29" s="109">
        <f t="shared" si="4"/>
        <v>1.6039344755618004</v>
      </c>
      <c r="S29" s="109">
        <f t="shared" si="4"/>
        <v>0.98712850146326403</v>
      </c>
      <c r="T29" s="109">
        <f t="shared" si="4"/>
        <v>1.8923875323656834</v>
      </c>
      <c r="U29" s="109">
        <f t="shared" si="4"/>
        <v>2.4038799605515564</v>
      </c>
      <c r="V29" s="109">
        <f t="shared" si="4"/>
        <v>2.0228491122598324</v>
      </c>
      <c r="W29" s="109">
        <f t="shared" si="4"/>
        <v>3.9173371446332919</v>
      </c>
      <c r="X29" s="109">
        <f t="shared" si="4"/>
        <v>3.0553648671430214</v>
      </c>
      <c r="Y29" s="109">
        <f t="shared" si="4"/>
        <v>4.1206016726462362</v>
      </c>
      <c r="Z29" s="109">
        <f t="shared" si="4"/>
        <v>5.7454352158763857</v>
      </c>
      <c r="AA29" s="109">
        <f t="shared" si="4"/>
        <v>3.6383423636195342</v>
      </c>
      <c r="AB29" s="109">
        <f t="shared" si="4"/>
        <v>5.8800871617575492</v>
      </c>
      <c r="AC29" s="109">
        <f t="shared" si="4"/>
        <v>6.5646291211580792</v>
      </c>
      <c r="AD29" s="109">
        <f t="shared" si="4"/>
        <v>7.81262909116945</v>
      </c>
      <c r="AE29" s="109">
        <f t="shared" si="4"/>
        <v>7.2216501452287361</v>
      </c>
      <c r="AF29" s="109">
        <f t="shared" si="4"/>
        <v>9.9990871226548332</v>
      </c>
      <c r="AG29" s="109">
        <f t="shared" si="4"/>
        <v>9.1821499989695816</v>
      </c>
      <c r="AH29" s="109">
        <f t="shared" si="4"/>
        <v>9.2909190601836968</v>
      </c>
      <c r="AI29" s="109">
        <f t="shared" si="4"/>
        <v>12.575872437865772</v>
      </c>
      <c r="AJ29" s="109">
        <f t="shared" si="4"/>
        <v>10.873177756096513</v>
      </c>
      <c r="AK29" s="109">
        <f t="shared" si="4"/>
        <v>13.00065853759008</v>
      </c>
      <c r="AL29" s="109">
        <f t="shared" si="4"/>
        <v>13.307950740091883</v>
      </c>
      <c r="AM29" s="109">
        <f t="shared" si="4"/>
        <v>10.49642771285793</v>
      </c>
      <c r="AN29" s="109">
        <f t="shared" si="4"/>
        <v>13.010485789882349</v>
      </c>
    </row>
    <row r="31" spans="1:40" x14ac:dyDescent="0.25">
      <c r="A31" t="s">
        <v>127</v>
      </c>
      <c r="E31" s="123" t="e">
        <f>E29/E8</f>
        <v>#DIV/0!</v>
      </c>
      <c r="F31" s="123" t="e">
        <f t="shared" ref="F31:AN31" si="5">F29/F8</f>
        <v>#DIV/0!</v>
      </c>
      <c r="G31" s="123" t="e">
        <f t="shared" si="5"/>
        <v>#DIV/0!</v>
      </c>
      <c r="H31" s="123">
        <f t="shared" si="5"/>
        <v>-0.11085775932258576</v>
      </c>
      <c r="I31" s="123">
        <f t="shared" si="5"/>
        <v>-8.0704606689784589E-2</v>
      </c>
      <c r="J31" s="123">
        <f t="shared" si="5"/>
        <v>-9.6897683860542858E-2</v>
      </c>
      <c r="K31" s="123">
        <f t="shared" si="5"/>
        <v>-5.704364757762552E-2</v>
      </c>
      <c r="L31" s="123">
        <f t="shared" si="5"/>
        <v>-5.7745994498031847E-2</v>
      </c>
      <c r="M31" s="123">
        <f t="shared" si="5"/>
        <v>-3.5776834888920764E-2</v>
      </c>
      <c r="N31" s="123">
        <f t="shared" si="5"/>
        <v>-5.5720329837570925E-3</v>
      </c>
      <c r="O31" s="123">
        <f t="shared" si="5"/>
        <v>-5.4208632640559251E-2</v>
      </c>
      <c r="P31" s="123">
        <f t="shared" si="5"/>
        <v>5.234126902887595E-3</v>
      </c>
      <c r="Q31" s="123">
        <f t="shared" si="5"/>
        <v>4.739321579086144E-3</v>
      </c>
      <c r="R31" s="123">
        <f t="shared" si="5"/>
        <v>4.8153370757365858E-2</v>
      </c>
      <c r="S31" s="123">
        <f t="shared" si="5"/>
        <v>3.08005521340785E-2</v>
      </c>
      <c r="T31" s="123">
        <f t="shared" si="5"/>
        <v>5.2149812101021133E-2</v>
      </c>
      <c r="U31" s="123">
        <f t="shared" si="5"/>
        <v>6.441350895256992E-2</v>
      </c>
      <c r="V31" s="123">
        <f t="shared" si="5"/>
        <v>5.5353362410272042E-2</v>
      </c>
      <c r="W31" s="123">
        <f t="shared" si="5"/>
        <v>9.6999503233594575E-2</v>
      </c>
      <c r="X31" s="123">
        <f t="shared" si="5"/>
        <v>7.9098863035777608E-2</v>
      </c>
      <c r="Y31" s="123">
        <f t="shared" si="5"/>
        <v>0.10106735510774024</v>
      </c>
      <c r="Z31" s="123">
        <f t="shared" si="5"/>
        <v>0.13035530653497085</v>
      </c>
      <c r="AA31" s="123">
        <f t="shared" si="5"/>
        <v>9.1382307381692118E-2</v>
      </c>
      <c r="AB31" s="123">
        <f t="shared" si="5"/>
        <v>0.13267221820415237</v>
      </c>
      <c r="AC31" s="123">
        <f t="shared" si="5"/>
        <v>0.14357763741518889</v>
      </c>
      <c r="AD31" s="123">
        <f t="shared" si="5"/>
        <v>0.16197225381529856</v>
      </c>
      <c r="AE31" s="123">
        <f t="shared" si="5"/>
        <v>0.15354322300093209</v>
      </c>
      <c r="AF31" s="123">
        <f t="shared" si="5"/>
        <v>0.18093662982417819</v>
      </c>
      <c r="AG31" s="123">
        <f t="shared" si="5"/>
        <v>0.17136752666708255</v>
      </c>
      <c r="AH31" s="123">
        <f t="shared" si="5"/>
        <v>0.17266743772639448</v>
      </c>
      <c r="AI31" s="123">
        <f t="shared" si="5"/>
        <v>0.20798257849481053</v>
      </c>
      <c r="AJ31" s="123">
        <f t="shared" si="5"/>
        <v>0.19075220963677222</v>
      </c>
      <c r="AK31" s="123">
        <f t="shared" si="5"/>
        <v>0.21207413531794975</v>
      </c>
      <c r="AL31" s="123">
        <f t="shared" si="5"/>
        <v>0.2149243547669519</v>
      </c>
      <c r="AM31" s="123">
        <f t="shared" si="5"/>
        <v>0.18661389932339906</v>
      </c>
      <c r="AN31" s="123">
        <f t="shared" si="5"/>
        <v>0.21226685809104281</v>
      </c>
    </row>
    <row r="33" spans="1:40" s="129" customFormat="1" x14ac:dyDescent="0.25">
      <c r="A33" s="127" t="s">
        <v>95</v>
      </c>
      <c r="B33" s="127"/>
      <c r="C33" s="127"/>
      <c r="D33" s="127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6FC4-1251-42D6-BA4B-A44BB052772F}">
  <dimension ref="A1:E22"/>
  <sheetViews>
    <sheetView topLeftCell="A2" workbookViewId="0">
      <pane xSplit="3" topLeftCell="D1" activePane="topRight" state="frozen"/>
      <selection pane="topRight" activeCell="E5" sqref="E5"/>
    </sheetView>
  </sheetViews>
  <sheetFormatPr defaultRowHeight="15" x14ac:dyDescent="0.25"/>
  <cols>
    <col min="1" max="1" width="29.140625" bestFit="1" customWidth="1"/>
    <col min="2" max="2" width="9.140625" customWidth="1"/>
    <col min="3" max="3" width="3.28515625" customWidth="1"/>
    <col min="4" max="4" width="2.42578125" customWidth="1"/>
    <col min="5" max="5" width="12.5703125" style="106" bestFit="1" customWidth="1"/>
  </cols>
  <sheetData>
    <row r="1" spans="1:5" x14ac:dyDescent="0.25">
      <c r="A1" s="9" t="s">
        <v>105</v>
      </c>
      <c r="B1" s="92" t="str">
        <f>Converter!C1</f>
        <v>Lakhs</v>
      </c>
      <c r="E1"/>
    </row>
    <row r="2" spans="1:5" x14ac:dyDescent="0.25">
      <c r="E2" s="98">
        <v>0</v>
      </c>
    </row>
    <row r="3" spans="1:5" x14ac:dyDescent="0.25">
      <c r="E3" s="97">
        <f>Assumptions!G3</f>
        <v>43922</v>
      </c>
    </row>
    <row r="4" spans="1:5" x14ac:dyDescent="0.25">
      <c r="A4" s="120" t="s">
        <v>128</v>
      </c>
    </row>
    <row r="5" spans="1:5" x14ac:dyDescent="0.25">
      <c r="A5" t="str">
        <f>Assumptions!A79</f>
        <v>Kitchen Equipments and cutlery</v>
      </c>
      <c r="E5" s="106">
        <f>Assumptions!$G$79*Assumptions!$G$70/Den</f>
        <v>30</v>
      </c>
    </row>
    <row r="6" spans="1:5" x14ac:dyDescent="0.25">
      <c r="A6" t="str">
        <f>Assumptions!A80</f>
        <v>Refrigeration Equipments</v>
      </c>
      <c r="E6" s="106">
        <f>Assumptions!$G$80*Assumptions!$G$70/Den</f>
        <v>50</v>
      </c>
    </row>
    <row r="7" spans="1:5" x14ac:dyDescent="0.25">
      <c r="A7" t="str">
        <f>Assumptions!A81</f>
        <v>Furniture &amp; Fixtures</v>
      </c>
      <c r="E7" s="106">
        <f>Assumptions!$G$81*Assumptions!$G$69/Den</f>
        <v>51</v>
      </c>
    </row>
    <row r="8" spans="1:5" x14ac:dyDescent="0.25">
      <c r="A8" t="str">
        <f>Assumptions!A82</f>
        <v>Restaurants Décor</v>
      </c>
      <c r="E8" s="106">
        <f>Assumptions!$G$82*Assumptions!$G$69/Den</f>
        <v>60</v>
      </c>
    </row>
    <row r="9" spans="1:5" x14ac:dyDescent="0.25">
      <c r="A9" s="117" t="s">
        <v>39</v>
      </c>
      <c r="B9" s="121"/>
      <c r="C9" s="121"/>
      <c r="D9" s="121"/>
      <c r="E9" s="118">
        <f>SUM(E5:E8)</f>
        <v>191</v>
      </c>
    </row>
    <row r="10" spans="1:5" x14ac:dyDescent="0.25">
      <c r="A10" t="s">
        <v>129</v>
      </c>
      <c r="E10" s="106">
        <f>Assumptions!$G$83/Den</f>
        <v>10</v>
      </c>
    </row>
    <row r="11" spans="1:5" x14ac:dyDescent="0.25">
      <c r="A11" t="s">
        <v>130</v>
      </c>
      <c r="E11" s="106">
        <f>Assumptions!$G$87/Den</f>
        <v>24</v>
      </c>
    </row>
    <row r="13" spans="1:5" x14ac:dyDescent="0.25">
      <c r="A13" s="117" t="s">
        <v>131</v>
      </c>
      <c r="B13" s="121"/>
      <c r="C13" s="121"/>
      <c r="D13" s="121"/>
      <c r="E13" s="118">
        <f>E9+E10+E11</f>
        <v>225</v>
      </c>
    </row>
    <row r="15" spans="1:5" x14ac:dyDescent="0.25">
      <c r="A15" t="s">
        <v>132</v>
      </c>
    </row>
    <row r="16" spans="1:5" x14ac:dyDescent="0.25">
      <c r="A16" t="s">
        <v>89</v>
      </c>
      <c r="B16" s="124">
        <f>Assumptions!G100</f>
        <v>1</v>
      </c>
      <c r="E16" s="106">
        <f>E13*B16</f>
        <v>225</v>
      </c>
    </row>
    <row r="17" spans="1:5" x14ac:dyDescent="0.25">
      <c r="A17" t="s">
        <v>90</v>
      </c>
      <c r="B17" s="124">
        <f>1-B16</f>
        <v>0</v>
      </c>
      <c r="E17" s="106">
        <f>E13*B17</f>
        <v>0</v>
      </c>
    </row>
    <row r="19" spans="1:5" x14ac:dyDescent="0.25">
      <c r="A19" s="117" t="s">
        <v>133</v>
      </c>
      <c r="B19" s="121"/>
      <c r="C19" s="121"/>
      <c r="D19" s="121"/>
      <c r="E19" s="118">
        <f>E16+E17</f>
        <v>225</v>
      </c>
    </row>
    <row r="22" spans="1:5" s="127" customFormat="1" x14ac:dyDescent="0.25">
      <c r="A22" s="127" t="s">
        <v>95</v>
      </c>
      <c r="E22" s="1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4A48-30FB-4549-B652-1302B4DFC6BA}">
  <dimension ref="A1:G40"/>
  <sheetViews>
    <sheetView topLeftCell="A16" workbookViewId="0">
      <selection activeCell="F17" sqref="F17"/>
    </sheetView>
  </sheetViews>
  <sheetFormatPr defaultRowHeight="15" x14ac:dyDescent="0.25"/>
  <cols>
    <col min="1" max="1" width="29.140625" bestFit="1" customWidth="1"/>
    <col min="5" max="7" width="9.85546875" style="93" bestFit="1" customWidth="1"/>
    <col min="8" max="16384" width="9.140625" style="93"/>
  </cols>
  <sheetData>
    <row r="1" spans="1:7" customFormat="1" x14ac:dyDescent="0.25">
      <c r="A1" s="9" t="s">
        <v>105</v>
      </c>
      <c r="B1" s="92" t="str">
        <f>Converter!C1</f>
        <v>Lakhs</v>
      </c>
    </row>
    <row r="2" spans="1:7" customFormat="1" x14ac:dyDescent="0.25">
      <c r="E2" s="96">
        <v>1</v>
      </c>
      <c r="F2" s="96">
        <v>2</v>
      </c>
      <c r="G2" s="96">
        <v>3</v>
      </c>
    </row>
    <row r="3" spans="1:7" customFormat="1" x14ac:dyDescent="0.25">
      <c r="E3" s="97">
        <f>EOMONTH(Assumptions!G3,11)</f>
        <v>44286</v>
      </c>
      <c r="F3" s="97">
        <f>EOMONTH(E3,12)</f>
        <v>44651</v>
      </c>
      <c r="G3" s="97">
        <f>EOMONTH(F3,12)</f>
        <v>45016</v>
      </c>
    </row>
    <row r="4" spans="1:7" x14ac:dyDescent="0.25">
      <c r="A4" s="120" t="str">
        <f>'Capital Structure'!A5</f>
        <v>Kitchen Equipments and cutlery</v>
      </c>
      <c r="E4" s="106"/>
      <c r="F4" s="106"/>
      <c r="G4" s="106"/>
    </row>
    <row r="5" spans="1:7" x14ac:dyDescent="0.25">
      <c r="A5" t="s">
        <v>134</v>
      </c>
      <c r="E5" s="106">
        <v>0</v>
      </c>
      <c r="F5" s="106">
        <f>E9</f>
        <v>26.634246575342466</v>
      </c>
      <c r="G5" s="106">
        <f>F9</f>
        <v>22.639109589041094</v>
      </c>
    </row>
    <row r="6" spans="1:7" x14ac:dyDescent="0.25">
      <c r="A6" t="s">
        <v>135</v>
      </c>
      <c r="E6" s="106">
        <f>'Capital Structure'!E5</f>
        <v>30</v>
      </c>
      <c r="F6" s="106">
        <v>0</v>
      </c>
      <c r="G6" s="106">
        <v>0</v>
      </c>
    </row>
    <row r="7" spans="1:7" x14ac:dyDescent="0.25">
      <c r="A7" t="s">
        <v>136</v>
      </c>
      <c r="E7" s="106">
        <v>0</v>
      </c>
      <c r="F7" s="106">
        <v>0</v>
      </c>
      <c r="G7" s="106">
        <v>0</v>
      </c>
    </row>
    <row r="8" spans="1:7" x14ac:dyDescent="0.25">
      <c r="A8" t="s">
        <v>137</v>
      </c>
      <c r="E8" s="109">
        <f>(E5+E6-E7)*Assumptions!$G$96*MIN(365,'Fixed Asset Schedule'!E$3-Assumptions!$G$5)/365</f>
        <v>3.3657534246575342</v>
      </c>
      <c r="F8" s="109">
        <f>(F5+F6-F7)*Assumptions!$G$96*MIN(365,'Fixed Asset Schedule'!F$3-Assumptions!$G$5)/365</f>
        <v>3.9951369863013704</v>
      </c>
      <c r="G8" s="109">
        <f>(G5+G6-G7)*Assumptions!$G$96*MIN(365,'Fixed Asset Schedule'!G$3-Assumptions!$G$5)/365</f>
        <v>3.3958664383561636</v>
      </c>
    </row>
    <row r="9" spans="1:7" ht="15.75" thickBot="1" x14ac:dyDescent="0.3">
      <c r="A9" s="125" t="s">
        <v>138</v>
      </c>
      <c r="B9" s="125"/>
      <c r="C9" s="125"/>
      <c r="D9" s="125"/>
      <c r="E9" s="126">
        <f>E5+E6-E7-E8</f>
        <v>26.634246575342466</v>
      </c>
      <c r="F9" s="126">
        <f t="shared" ref="F9:G9" si="0">F5+F6-F7-F8</f>
        <v>22.639109589041094</v>
      </c>
      <c r="G9" s="126">
        <f t="shared" si="0"/>
        <v>19.243243150684933</v>
      </c>
    </row>
    <row r="10" spans="1:7" x14ac:dyDescent="0.25">
      <c r="E10" s="106"/>
      <c r="F10" s="106"/>
      <c r="G10" s="106"/>
    </row>
    <row r="11" spans="1:7" x14ac:dyDescent="0.25">
      <c r="E11" s="106"/>
      <c r="F11" s="106"/>
      <c r="G11" s="106"/>
    </row>
    <row r="12" spans="1:7" x14ac:dyDescent="0.25">
      <c r="A12" s="120" t="str">
        <f>'Capital Structure'!A6</f>
        <v>Refrigeration Equipments</v>
      </c>
      <c r="E12" s="106"/>
      <c r="F12" s="106"/>
      <c r="G12" s="106"/>
    </row>
    <row r="13" spans="1:7" x14ac:dyDescent="0.25">
      <c r="A13" t="s">
        <v>134</v>
      </c>
      <c r="E13" s="106">
        <v>0</v>
      </c>
      <c r="F13" s="106">
        <f>E17</f>
        <v>44.390410958904113</v>
      </c>
      <c r="G13" s="106">
        <f>F17</f>
        <v>37.731849315068494</v>
      </c>
    </row>
    <row r="14" spans="1:7" x14ac:dyDescent="0.25">
      <c r="A14" t="s">
        <v>135</v>
      </c>
      <c r="E14" s="106">
        <f>'Capital Structure'!E6</f>
        <v>50</v>
      </c>
      <c r="F14" s="106">
        <v>0</v>
      </c>
      <c r="G14" s="106">
        <v>0</v>
      </c>
    </row>
    <row r="15" spans="1:7" x14ac:dyDescent="0.25">
      <c r="A15" t="s">
        <v>136</v>
      </c>
      <c r="E15" s="106">
        <v>0</v>
      </c>
      <c r="F15" s="106">
        <v>0</v>
      </c>
      <c r="G15" s="106">
        <v>0</v>
      </c>
    </row>
    <row r="16" spans="1:7" x14ac:dyDescent="0.25">
      <c r="A16" t="s">
        <v>137</v>
      </c>
      <c r="E16" s="109">
        <f>(E13+E14-E15)*Assumptions!$G$96*MIN(365,'Fixed Asset Schedule'!E$3-Assumptions!$G$5)/365</f>
        <v>5.6095890410958908</v>
      </c>
      <c r="F16" s="109">
        <f>(F13+F14-F15)*Assumptions!$G$96*MIN(365,'Fixed Asset Schedule'!F$3-Assumptions!$G$5)/365</f>
        <v>6.6585616438356166</v>
      </c>
      <c r="G16" s="109">
        <f>(G13+G14-G15)*Assumptions!$G$96*MIN(365,'Fixed Asset Schedule'!G$3-Assumptions!$G$5)/365</f>
        <v>5.6597773972602736</v>
      </c>
    </row>
    <row r="17" spans="1:7" ht="15.75" thickBot="1" x14ac:dyDescent="0.3">
      <c r="A17" s="125" t="s">
        <v>138</v>
      </c>
      <c r="B17" s="125"/>
      <c r="C17" s="125"/>
      <c r="D17" s="125"/>
      <c r="E17" s="126">
        <f>E13+E14-E15-E16</f>
        <v>44.390410958904113</v>
      </c>
      <c r="F17" s="126">
        <f t="shared" ref="F17" si="1">F13+F14-F15-F16</f>
        <v>37.731849315068494</v>
      </c>
      <c r="G17" s="126">
        <f t="shared" ref="G17" si="2">G13+G14-G15-G16</f>
        <v>32.072071917808223</v>
      </c>
    </row>
    <row r="18" spans="1:7" x14ac:dyDescent="0.25">
      <c r="E18" s="106"/>
      <c r="F18" s="106"/>
      <c r="G18" s="106"/>
    </row>
    <row r="19" spans="1:7" x14ac:dyDescent="0.25">
      <c r="A19" s="120" t="str">
        <f>'Capital Structure'!A7</f>
        <v>Furniture &amp; Fixtures</v>
      </c>
      <c r="E19" s="106"/>
      <c r="F19" s="106"/>
      <c r="G19" s="106"/>
    </row>
    <row r="20" spans="1:7" x14ac:dyDescent="0.25">
      <c r="A20" t="s">
        <v>134</v>
      </c>
      <c r="E20" s="106">
        <v>0</v>
      </c>
      <c r="F20" s="106">
        <f>E24</f>
        <v>47.185479452054793</v>
      </c>
      <c r="G20" s="106">
        <f>F24</f>
        <v>42.466931506849313</v>
      </c>
    </row>
    <row r="21" spans="1:7" x14ac:dyDescent="0.25">
      <c r="A21" t="s">
        <v>135</v>
      </c>
      <c r="E21" s="106">
        <f>'Capital Structure'!E7</f>
        <v>51</v>
      </c>
      <c r="F21" s="106">
        <v>0</v>
      </c>
      <c r="G21" s="106">
        <v>0</v>
      </c>
    </row>
    <row r="22" spans="1:7" x14ac:dyDescent="0.25">
      <c r="A22" t="s">
        <v>136</v>
      </c>
      <c r="E22" s="106">
        <v>0</v>
      </c>
      <c r="F22" s="106">
        <v>0</v>
      </c>
      <c r="G22" s="106">
        <v>0</v>
      </c>
    </row>
    <row r="23" spans="1:7" x14ac:dyDescent="0.25">
      <c r="A23" t="s">
        <v>137</v>
      </c>
      <c r="E23" s="109">
        <f>(E20+E21-E22)*Assumptions!$G$97*MIN(365,'Fixed Asset Schedule'!E$3-Assumptions!$G$5)/365</f>
        <v>3.814520547945206</v>
      </c>
      <c r="F23" s="109">
        <f>(F20+F21-F22)*Assumptions!$G$97*MIN(365,'Fixed Asset Schedule'!F$3-Assumptions!$G$5)/365</f>
        <v>4.7185479452054793</v>
      </c>
      <c r="G23" s="109">
        <f>(G20+G21-G22)*Assumptions!$G$97*MIN(365,'Fixed Asset Schedule'!G$3-Assumptions!$G$5)/365</f>
        <v>4.2466931506849317</v>
      </c>
    </row>
    <row r="24" spans="1:7" ht="15.75" thickBot="1" x14ac:dyDescent="0.3">
      <c r="A24" s="125" t="s">
        <v>138</v>
      </c>
      <c r="B24" s="125"/>
      <c r="C24" s="125"/>
      <c r="D24" s="125"/>
      <c r="E24" s="126">
        <f>E20+E21-E22-E23</f>
        <v>47.185479452054793</v>
      </c>
      <c r="F24" s="126">
        <f t="shared" ref="F24" si="3">F20+F21-F22-F23</f>
        <v>42.466931506849313</v>
      </c>
      <c r="G24" s="126">
        <f t="shared" ref="G24" si="4">G20+G21-G22-G23</f>
        <v>38.22023835616438</v>
      </c>
    </row>
    <row r="25" spans="1:7" x14ac:dyDescent="0.25">
      <c r="E25" s="106"/>
      <c r="F25" s="106"/>
      <c r="G25" s="106"/>
    </row>
    <row r="26" spans="1:7" x14ac:dyDescent="0.25">
      <c r="A26" s="120" t="str">
        <f>'Capital Structure'!A8</f>
        <v>Restaurants Décor</v>
      </c>
      <c r="E26" s="106"/>
      <c r="F26" s="106"/>
      <c r="G26" s="106"/>
    </row>
    <row r="27" spans="1:7" x14ac:dyDescent="0.25">
      <c r="A27" t="s">
        <v>134</v>
      </c>
      <c r="E27" s="106">
        <v>0</v>
      </c>
      <c r="F27" s="106">
        <f>E31</f>
        <v>55.512328767123286</v>
      </c>
      <c r="G27" s="106">
        <f>F31</f>
        <v>49.961095890410959</v>
      </c>
    </row>
    <row r="28" spans="1:7" x14ac:dyDescent="0.25">
      <c r="A28" t="s">
        <v>135</v>
      </c>
      <c r="E28" s="106">
        <f>'Capital Structure'!E8</f>
        <v>60</v>
      </c>
      <c r="F28" s="106">
        <v>0</v>
      </c>
      <c r="G28" s="106">
        <v>0</v>
      </c>
    </row>
    <row r="29" spans="1:7" x14ac:dyDescent="0.25">
      <c r="A29" t="s">
        <v>136</v>
      </c>
      <c r="E29" s="106">
        <v>0</v>
      </c>
      <c r="F29" s="106">
        <v>0</v>
      </c>
      <c r="G29" s="106">
        <v>0</v>
      </c>
    </row>
    <row r="30" spans="1:7" x14ac:dyDescent="0.25">
      <c r="A30" t="s">
        <v>137</v>
      </c>
      <c r="E30" s="109">
        <f>(E27+E28-E29)*Assumptions!$G$97*MIN(365,'Fixed Asset Schedule'!E$3-Assumptions!$G$5)/365</f>
        <v>4.4876712328767123</v>
      </c>
      <c r="F30" s="109">
        <f>(F27+F28-F29)*Assumptions!$G$97*MIN(365,'Fixed Asset Schedule'!F$3-Assumptions!$G$5)/365</f>
        <v>5.5512328767123291</v>
      </c>
      <c r="G30" s="109">
        <f>(G27+G28-G29)*Assumptions!$G$97*MIN(365,'Fixed Asset Schedule'!G$3-Assumptions!$G$5)/365</f>
        <v>4.9961095890410965</v>
      </c>
    </row>
    <row r="31" spans="1:7" ht="15.75" thickBot="1" x14ac:dyDescent="0.3">
      <c r="A31" s="125" t="s">
        <v>138</v>
      </c>
      <c r="B31" s="125"/>
      <c r="C31" s="125"/>
      <c r="D31" s="125"/>
      <c r="E31" s="126">
        <f>E27+E28-E29-E30</f>
        <v>55.512328767123286</v>
      </c>
      <c r="F31" s="126">
        <f t="shared" ref="F31" si="5">F27+F28-F29-F30</f>
        <v>49.961095890410959</v>
      </c>
      <c r="G31" s="126">
        <f t="shared" ref="G31" si="6">G27+G28-G29-G30</f>
        <v>44.964986301369862</v>
      </c>
    </row>
    <row r="32" spans="1:7" x14ac:dyDescent="0.25">
      <c r="E32" s="106"/>
      <c r="F32" s="106"/>
      <c r="G32" s="106"/>
    </row>
    <row r="33" spans="1:7" s="129" customFormat="1" x14ac:dyDescent="0.25">
      <c r="A33" s="127" t="s">
        <v>95</v>
      </c>
      <c r="B33" s="127"/>
      <c r="C33" s="127"/>
      <c r="D33" s="127"/>
      <c r="E33" s="128"/>
      <c r="F33" s="128"/>
      <c r="G33" s="128"/>
    </row>
    <row r="34" spans="1:7" x14ac:dyDescent="0.25">
      <c r="E34" s="106"/>
      <c r="F34" s="106"/>
      <c r="G34" s="106"/>
    </row>
    <row r="35" spans="1:7" x14ac:dyDescent="0.25">
      <c r="E35" s="106"/>
      <c r="F35" s="106"/>
      <c r="G35" s="106"/>
    </row>
    <row r="36" spans="1:7" x14ac:dyDescent="0.25">
      <c r="E36" s="106"/>
      <c r="F36" s="106"/>
      <c r="G36" s="106"/>
    </row>
    <row r="37" spans="1:7" x14ac:dyDescent="0.25">
      <c r="E37" s="106"/>
      <c r="F37" s="106"/>
      <c r="G37" s="106"/>
    </row>
    <row r="38" spans="1:7" x14ac:dyDescent="0.25">
      <c r="E38" s="106"/>
      <c r="F38" s="106"/>
      <c r="G38" s="106"/>
    </row>
    <row r="39" spans="1:7" x14ac:dyDescent="0.25">
      <c r="E39" s="106"/>
      <c r="F39" s="106"/>
      <c r="G39" s="106"/>
    </row>
    <row r="40" spans="1:7" x14ac:dyDescent="0.25">
      <c r="E40" s="106"/>
      <c r="F40" s="106"/>
      <c r="G40" s="10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56B9-4B3C-4742-9AAF-624274CEB918}">
  <dimension ref="A1:G21"/>
  <sheetViews>
    <sheetView workbookViewId="0">
      <selection activeCell="E11" sqref="E11:G11"/>
    </sheetView>
  </sheetViews>
  <sheetFormatPr defaultRowHeight="15" x14ac:dyDescent="0.25"/>
  <cols>
    <col min="1" max="1" width="25.28515625" bestFit="1" customWidth="1"/>
    <col min="5" max="7" width="9.85546875" style="93" bestFit="1" customWidth="1"/>
    <col min="8" max="16384" width="9.140625" style="93"/>
  </cols>
  <sheetData>
    <row r="1" spans="1:7" customFormat="1" x14ac:dyDescent="0.25">
      <c r="A1" s="9" t="s">
        <v>105</v>
      </c>
      <c r="B1" s="92" t="str">
        <f>Converter!C1</f>
        <v>Lakhs</v>
      </c>
    </row>
    <row r="2" spans="1:7" customFormat="1" x14ac:dyDescent="0.25">
      <c r="E2" s="96">
        <v>1</v>
      </c>
      <c r="F2" s="96">
        <v>2</v>
      </c>
      <c r="G2" s="96">
        <v>3</v>
      </c>
    </row>
    <row r="3" spans="1:7" customFormat="1" x14ac:dyDescent="0.25">
      <c r="E3" s="97">
        <f>EOMONTH(Assumptions!G3,11)</f>
        <v>44286</v>
      </c>
      <c r="F3" s="97">
        <f>EOMONTH(E3,12)</f>
        <v>44651</v>
      </c>
      <c r="G3" s="97">
        <f>EOMONTH(F3,12)</f>
        <v>45016</v>
      </c>
    </row>
    <row r="4" spans="1:7" x14ac:dyDescent="0.25">
      <c r="A4" s="120" t="s">
        <v>139</v>
      </c>
      <c r="E4" s="109"/>
      <c r="F4" s="109"/>
      <c r="G4" s="109"/>
    </row>
    <row r="5" spans="1:7" x14ac:dyDescent="0.25">
      <c r="A5" s="9" t="s">
        <v>81</v>
      </c>
      <c r="E5" s="109"/>
      <c r="F5" s="109"/>
      <c r="G5" s="109"/>
    </row>
    <row r="6" spans="1:7" x14ac:dyDescent="0.25">
      <c r="A6" s="130" t="str">
        <f>'Monthly Revenue'!A71</f>
        <v xml:space="preserve">  Alcoholic Beverages</v>
      </c>
      <c r="E6" s="109">
        <f>SUMIF('Monthly P&amp;L'!$E$3:$AN$3,'Working Capital'!E$3,'Monthly P&amp;L'!$E11:$AN11)/31*Assumptions!$G89</f>
        <v>2.7021508554851517</v>
      </c>
      <c r="F6" s="109">
        <f>SUMIF('Monthly P&amp;L'!$E$3:$AN$3,'Working Capital'!F$3,'Monthly P&amp;L'!$E11:$AN11)/31*Assumptions!$G89</f>
        <v>4.0194709383363767</v>
      </c>
      <c r="G6" s="109">
        <f>SUMIF('Monthly P&amp;L'!$E$3:$AN$3,'Working Capital'!G$3,'Monthly P&amp;L'!$E11:$AN11)/31*Assumptions!$G89</f>
        <v>5.5971120627922559</v>
      </c>
    </row>
    <row r="7" spans="1:7" x14ac:dyDescent="0.25">
      <c r="A7" s="130" t="str">
        <f>'Monthly Revenue'!A72</f>
        <v xml:space="preserve">  Non Alcoholic Beverages</v>
      </c>
      <c r="E7" s="109">
        <f>SUMIF('Monthly P&amp;L'!$E$3:$AN$3,'Working Capital'!E$3,'Monthly P&amp;L'!$E12:$AN12)/31*Assumptions!$G90</f>
        <v>0.74897369137017167</v>
      </c>
      <c r="F7" s="109">
        <f>SUMIF('Monthly P&amp;L'!$E$3:$AN$3,'Working Capital'!F$3,'Monthly P&amp;L'!$E12:$AN12)/31*Assumptions!$G90</f>
        <v>1.09141317936247</v>
      </c>
      <c r="G7" s="109">
        <f>SUMIF('Monthly P&amp;L'!$E$3:$AN$3,'Working Capital'!G$3,'Monthly P&amp;L'!$E12:$AN12)/31*Assumptions!$G90</f>
        <v>1.5081534003690593</v>
      </c>
    </row>
    <row r="8" spans="1:7" x14ac:dyDescent="0.25">
      <c r="A8" s="130" t="str">
        <f>'Monthly Revenue'!A73</f>
        <v xml:space="preserve">  Food</v>
      </c>
      <c r="E8" s="109">
        <f>SUMIF('Monthly P&amp;L'!$E$3:$AN$3,'Working Capital'!E$3,'Monthly P&amp;L'!$E13:$AN13)/31*Assumptions!$G91</f>
        <v>0.8964844643622385</v>
      </c>
      <c r="F8" s="109">
        <f>SUMIF('Monthly P&amp;L'!$E$3:$AN$3,'Working Capital'!F$3,'Monthly P&amp;L'!$E13:$AN13)/31*Assumptions!$G91</f>
        <v>1.2974725590364233</v>
      </c>
      <c r="G8" s="109">
        <f>SUMIF('Monthly P&amp;L'!$E$3:$AN$3,'Working Capital'!G$3,'Monthly P&amp;L'!$E13:$AN13)/31*Assumptions!$G91</f>
        <v>1.7891675569129366</v>
      </c>
    </row>
    <row r="9" spans="1:7" x14ac:dyDescent="0.25">
      <c r="A9" s="117" t="s">
        <v>39</v>
      </c>
      <c r="B9" s="121"/>
      <c r="C9" s="121"/>
      <c r="D9" s="121"/>
      <c r="E9" s="119">
        <f>SUM(E6:E8)</f>
        <v>4.3476090112175623</v>
      </c>
      <c r="F9" s="119">
        <f t="shared" ref="F9:G9" si="0">SUM(F6:F8)</f>
        <v>6.40835667673527</v>
      </c>
      <c r="G9" s="119">
        <f t="shared" si="0"/>
        <v>8.894433020074251</v>
      </c>
    </row>
    <row r="10" spans="1:7" x14ac:dyDescent="0.25">
      <c r="A10" s="9" t="s">
        <v>140</v>
      </c>
      <c r="E10" s="109"/>
      <c r="F10" s="109"/>
      <c r="G10" s="109"/>
    </row>
    <row r="11" spans="1:7" x14ac:dyDescent="0.25">
      <c r="A11" t="s">
        <v>141</v>
      </c>
      <c r="E11" s="109">
        <f>SUMIF('Monthly P&amp;L'!$E$3:$AN$3,'Working Capital'!E$3,'Monthly P&amp;L'!$E27:$AN27)/31*Assumptions!$G92</f>
        <v>10.12019115002002</v>
      </c>
      <c r="F11" s="109">
        <f>SUMIF('Monthly P&amp;L'!$E$3:$AN$3,'Working Capital'!F$3,'Monthly P&amp;L'!$E27:$AN27)/31*Assumptions!$G92</f>
        <v>12.90788985390828</v>
      </c>
      <c r="G11" s="109">
        <f>SUMIF('Monthly P&amp;L'!$E$3:$AN$3,'Working Capital'!G$3,'Monthly P&amp;L'!$E27:$AN27)/31*Assumptions!$G92</f>
        <v>16.246936437657812</v>
      </c>
    </row>
    <row r="12" spans="1:7" x14ac:dyDescent="0.25">
      <c r="A12" t="s">
        <v>142</v>
      </c>
      <c r="E12" s="109"/>
      <c r="F12" s="109"/>
      <c r="G12" s="109"/>
    </row>
    <row r="13" spans="1:7" x14ac:dyDescent="0.25">
      <c r="A13" s="130" t="str">
        <f>'Monthly Revenue'!A71</f>
        <v xml:space="preserve">  Alcoholic Beverages</v>
      </c>
      <c r="E13" s="109">
        <f>SUMIF('Monthly P&amp;L'!$E$3:$AN$3,'Working Capital'!E$3,'Monthly P&amp;L'!$E11:$AN11)/31*Assumptions!$G$92</f>
        <v>2.7021508554851517</v>
      </c>
      <c r="F13" s="109">
        <f>SUMIF('Monthly P&amp;L'!$E$3:$AN$3,'Working Capital'!F$3,'Monthly P&amp;L'!$E11:$AN11)/31*Assumptions!$G$92</f>
        <v>4.0194709383363767</v>
      </c>
      <c r="G13" s="109">
        <f>SUMIF('Monthly P&amp;L'!$E$3:$AN$3,'Working Capital'!G$3,'Monthly P&amp;L'!$E11:$AN11)/31*Assumptions!$G$92</f>
        <v>5.5971120627922559</v>
      </c>
    </row>
    <row r="14" spans="1:7" x14ac:dyDescent="0.25">
      <c r="A14" s="130" t="str">
        <f>'Monthly Revenue'!A72</f>
        <v xml:space="preserve">  Non Alcoholic Beverages</v>
      </c>
      <c r="E14" s="109">
        <f>SUMIF('Monthly P&amp;L'!$E$3:$AN$3,'Working Capital'!E$3,'Monthly P&amp;L'!$E12:$AN12)/31*Assumptions!$G$92</f>
        <v>1.4979473827403433</v>
      </c>
      <c r="F14" s="109">
        <f>SUMIF('Monthly P&amp;L'!$E$3:$AN$3,'Working Capital'!F$3,'Monthly P&amp;L'!$E12:$AN12)/31*Assumptions!$G$92</f>
        <v>2.1828263587249399</v>
      </c>
      <c r="G14" s="109">
        <f>SUMIF('Monthly P&amp;L'!$E$3:$AN$3,'Working Capital'!G$3,'Monthly P&amp;L'!$E12:$AN12)/31*Assumptions!$G$92</f>
        <v>3.0163068007381186</v>
      </c>
    </row>
    <row r="15" spans="1:7" x14ac:dyDescent="0.25">
      <c r="A15" s="130" t="str">
        <f>'Monthly Revenue'!A73</f>
        <v xml:space="preserve">  Food</v>
      </c>
      <c r="E15" s="109">
        <f>SUMIF('Monthly P&amp;L'!$E$3:$AN$3,'Working Capital'!E$3,'Monthly P&amp;L'!$E13:$AN13)/31*Assumptions!$G$92</f>
        <v>5.378906786173431</v>
      </c>
      <c r="F15" s="109">
        <f>SUMIF('Monthly P&amp;L'!$E$3:$AN$3,'Working Capital'!F$3,'Monthly P&amp;L'!$E13:$AN13)/31*Assumptions!$G$92</f>
        <v>7.78483535421854</v>
      </c>
      <c r="G15" s="109">
        <f>SUMIF('Monthly P&amp;L'!$E$3:$AN$3,'Working Capital'!G$3,'Monthly P&amp;L'!$E13:$AN13)/31*Assumptions!$G$92</f>
        <v>10.735005341477621</v>
      </c>
    </row>
    <row r="16" spans="1:7" x14ac:dyDescent="0.25">
      <c r="A16" s="117" t="s">
        <v>39</v>
      </c>
      <c r="B16" s="121"/>
      <c r="C16" s="121"/>
      <c r="D16" s="121"/>
      <c r="E16" s="119">
        <f>SUM(E11:E15)</f>
        <v>19.699196174418944</v>
      </c>
      <c r="F16" s="119">
        <f t="shared" ref="F16:G16" si="1">SUM(F11:F15)</f>
        <v>26.895022505188134</v>
      </c>
      <c r="G16" s="119">
        <f t="shared" si="1"/>
        <v>35.59536064266581</v>
      </c>
    </row>
    <row r="18" spans="1:7" x14ac:dyDescent="0.25">
      <c r="A18" t="s">
        <v>143</v>
      </c>
      <c r="E18" s="109">
        <f>E9-E16</f>
        <v>-15.351587163201382</v>
      </c>
      <c r="F18" s="109">
        <f t="shared" ref="F18:G18" si="2">F9-F16</f>
        <v>-20.486665828452864</v>
      </c>
      <c r="G18" s="109">
        <f t="shared" si="2"/>
        <v>-26.700927622591557</v>
      </c>
    </row>
    <row r="19" spans="1:7" x14ac:dyDescent="0.25">
      <c r="A19" t="s">
        <v>144</v>
      </c>
      <c r="E19" s="109">
        <f>D18-E18</f>
        <v>15.351587163201382</v>
      </c>
      <c r="F19" s="109">
        <f t="shared" ref="F19:G19" si="3">E18-F18</f>
        <v>5.1350786652514824</v>
      </c>
      <c r="G19" s="109">
        <f t="shared" si="3"/>
        <v>6.2142617941386931</v>
      </c>
    </row>
    <row r="20" spans="1:7" x14ac:dyDescent="0.25">
      <c r="E20" s="109"/>
      <c r="F20" s="109"/>
      <c r="G20" s="109"/>
    </row>
    <row r="21" spans="1:7" x14ac:dyDescent="0.25">
      <c r="E21" s="109"/>
      <c r="F21" s="109"/>
      <c r="G21" s="10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8D14-EF16-4ACF-80F3-D4E3E241862B}">
  <dimension ref="A1:J64"/>
  <sheetViews>
    <sheetView topLeftCell="A22" workbookViewId="0">
      <selection activeCell="F11" sqref="F11"/>
    </sheetView>
  </sheetViews>
  <sheetFormatPr defaultRowHeight="15" x14ac:dyDescent="0.25"/>
  <cols>
    <col min="1" max="1" width="42.140625" bestFit="1" customWidth="1"/>
    <col min="5" max="7" width="9.85546875" style="93" bestFit="1" customWidth="1"/>
    <col min="8" max="16384" width="9.140625" style="93"/>
  </cols>
  <sheetData>
    <row r="1" spans="1:10" customFormat="1" x14ac:dyDescent="0.25">
      <c r="A1" s="9" t="s">
        <v>105</v>
      </c>
      <c r="B1" s="92" t="str">
        <f>Converter!C1</f>
        <v>Lakhs</v>
      </c>
    </row>
    <row r="2" spans="1:10" customFormat="1" x14ac:dyDescent="0.25">
      <c r="E2" s="96">
        <v>1</v>
      </c>
      <c r="F2" s="96">
        <v>2</v>
      </c>
      <c r="G2" s="96">
        <v>3</v>
      </c>
    </row>
    <row r="3" spans="1:10" customFormat="1" x14ac:dyDescent="0.25">
      <c r="D3" s="132">
        <f>Assumptions!G5</f>
        <v>44013</v>
      </c>
      <c r="E3" s="97">
        <f>EOMONTH(Assumptions!G3,11)</f>
        <v>44286</v>
      </c>
      <c r="F3" s="97">
        <f>EOMONTH(E3,12)</f>
        <v>44651</v>
      </c>
      <c r="G3" s="97">
        <f>EOMONTH(F3,12)</f>
        <v>45016</v>
      </c>
    </row>
    <row r="4" spans="1:10" x14ac:dyDescent="0.25">
      <c r="A4" s="120" t="s">
        <v>4</v>
      </c>
    </row>
    <row r="5" spans="1:10" x14ac:dyDescent="0.25">
      <c r="A5" t="str">
        <f>'Monthly Revenue'!A71</f>
        <v xml:space="preserve">  Alcoholic Beverages</v>
      </c>
      <c r="E5" s="109">
        <f>SUMIFS('Monthly P&amp;L'!$E5:$AN5,'Monthly P&amp;L'!$E$3:$AN$3,"&gt;"&amp;'Annual P&amp;L'!D$3,'Monthly P&amp;L'!$E$3:$AN$3,"&lt;="&amp;'Annual P&amp;L'!E$3)</f>
        <v>64.585172361104711</v>
      </c>
      <c r="F5" s="109">
        <f>SUMIFS('Monthly P&amp;L'!$E5:$AN5,'Monthly P&amp;L'!$E$3:$AN$3,"&gt;"&amp;'Annual P&amp;L'!E$3,'Monthly P&amp;L'!$E$3:$AN$3,"&lt;="&amp;'Annual P&amp;L'!F$3)</f>
        <v>121.87671607748571</v>
      </c>
      <c r="G5" s="109">
        <f>SUMIFS('Monthly P&amp;L'!$E5:$AN5,'Monthly P&amp;L'!$E$3:$AN$3,"&gt;"&amp;'Annual P&amp;L'!F$3,'Monthly P&amp;L'!$E$3:$AN$3,"&lt;="&amp;'Annual P&amp;L'!G$3)</f>
        <v>180.72178813438074</v>
      </c>
      <c r="H5" s="106"/>
      <c r="I5" s="106"/>
      <c r="J5" s="106"/>
    </row>
    <row r="6" spans="1:10" x14ac:dyDescent="0.25">
      <c r="A6" t="str">
        <f>'Monthly Revenue'!A72</f>
        <v xml:space="preserve">  Non Alcoholic Beverages</v>
      </c>
      <c r="E6" s="109">
        <f>SUMIFS('Monthly P&amp;L'!$E6:$AN6,'Monthly P&amp;L'!$E$3:$AN$3,"&gt;"&amp;'Annual P&amp;L'!D$3,'Monthly P&amp;L'!$E$3:$AN$3,"&lt;="&amp;'Annual P&amp;L'!E$3)</f>
        <v>31.165448008708413</v>
      </c>
      <c r="F6" s="109">
        <f>SUMIFS('Monthly P&amp;L'!$E6:$AN6,'Monthly P&amp;L'!$E$3:$AN$3,"&gt;"&amp;'Annual P&amp;L'!E$3,'Monthly P&amp;L'!$E$3:$AN$3,"&lt;="&amp;'Annual P&amp;L'!F$3)</f>
        <v>57.732684827992365</v>
      </c>
      <c r="G6" s="109">
        <f>SUMIFS('Monthly P&amp;L'!$E6:$AN6,'Monthly P&amp;L'!$E$3:$AN$3,"&gt;"&amp;'Annual P&amp;L'!F$3,'Monthly P&amp;L'!$E$3:$AN$3,"&lt;="&amp;'Annual P&amp;L'!G$3)</f>
        <v>84.085990550785382</v>
      </c>
      <c r="H6" s="106"/>
      <c r="I6" s="106"/>
      <c r="J6" s="106"/>
    </row>
    <row r="7" spans="1:10" x14ac:dyDescent="0.25">
      <c r="A7" t="str">
        <f>'Monthly Revenue'!A73</f>
        <v xml:space="preserve">  Food</v>
      </c>
      <c r="E7" s="109">
        <f>SUMIFS('Monthly P&amp;L'!$E7:$AN7,'Monthly P&amp;L'!$E$3:$AN$3,"&gt;"&amp;'Annual P&amp;L'!D$3,'Monthly P&amp;L'!$E$3:$AN$3,"&lt;="&amp;'Annual P&amp;L'!E$3)</f>
        <v>148.95966081244541</v>
      </c>
      <c r="F7" s="109">
        <f>SUMIFS('Monthly P&amp;L'!$E7:$AN7,'Monthly P&amp;L'!$E$3:$AN$3,"&gt;"&amp;'Annual P&amp;L'!E$3,'Monthly P&amp;L'!$E$3:$AN$3,"&lt;="&amp;'Annual P&amp;L'!F$3)</f>
        <v>274.24132123538232</v>
      </c>
      <c r="G7" s="109">
        <f>SUMIFS('Monthly P&amp;L'!$E7:$AN7,'Monthly P&amp;L'!$E$3:$AN$3,"&gt;"&amp;'Annual P&amp;L'!F$3,'Monthly P&amp;L'!$E$3:$AN$3,"&lt;="&amp;'Annual P&amp;L'!G$3)</f>
        <v>397.06350088525784</v>
      </c>
      <c r="H7" s="106"/>
      <c r="I7" s="106"/>
      <c r="J7" s="106"/>
    </row>
    <row r="8" spans="1:10" x14ac:dyDescent="0.25">
      <c r="A8" s="117" t="s">
        <v>39</v>
      </c>
      <c r="B8" s="121"/>
      <c r="C8" s="121"/>
      <c r="D8" s="121"/>
      <c r="E8" s="119">
        <f>SUMIFS('Monthly P&amp;L'!$E8:$AN8,'Monthly P&amp;L'!$E$3:$AN$3,"&gt;"&amp;'Annual P&amp;L'!D$3,'Monthly P&amp;L'!$E$3:$AN$3,"&lt;="&amp;'Annual P&amp;L'!E$3)</f>
        <v>244.71028118225851</v>
      </c>
      <c r="F8" s="119">
        <f>SUMIFS('Monthly P&amp;L'!$E8:$AN8,'Monthly P&amp;L'!$E$3:$AN$3,"&gt;"&amp;'Annual P&amp;L'!E$3,'Monthly P&amp;L'!$E$3:$AN$3,"&lt;="&amp;'Annual P&amp;L'!F$3)</f>
        <v>453.85072214086051</v>
      </c>
      <c r="G8" s="119">
        <f>SUMIFS('Monthly P&amp;L'!$E8:$AN8,'Monthly P&amp;L'!$E$3:$AN$3,"&gt;"&amp;'Annual P&amp;L'!F$3,'Monthly P&amp;L'!$E$3:$AN$3,"&lt;="&amp;'Annual P&amp;L'!G$3)</f>
        <v>661.87127957042401</v>
      </c>
      <c r="H8" s="106"/>
      <c r="I8" s="106"/>
      <c r="J8" s="106"/>
    </row>
    <row r="9" spans="1:10" x14ac:dyDescent="0.25">
      <c r="E9" s="109">
        <f>SUMIFS('Monthly P&amp;L'!$E9:$AN9,'Monthly P&amp;L'!$E$3:$AN$3,"&gt;"&amp;'Annual P&amp;L'!D$3,'Monthly P&amp;L'!$E$3:$AN$3,"&lt;="&amp;'Annual P&amp;L'!E$3)</f>
        <v>0</v>
      </c>
      <c r="F9" s="109">
        <f>SUMIFS('Monthly P&amp;L'!$E9:$AN9,'Monthly P&amp;L'!$E$3:$AN$3,"&gt;"&amp;'Annual P&amp;L'!E$3,'Monthly P&amp;L'!$E$3:$AN$3,"&lt;="&amp;'Annual P&amp;L'!F$3)</f>
        <v>0</v>
      </c>
      <c r="G9" s="109">
        <f>SUMIFS('Monthly P&amp;L'!$E9:$AN9,'Monthly P&amp;L'!$E$3:$AN$3,"&gt;"&amp;'Annual P&amp;L'!F$3,'Monthly P&amp;L'!$E$3:$AN$3,"&lt;="&amp;'Annual P&amp;L'!G$3)</f>
        <v>0</v>
      </c>
      <c r="H9" s="106"/>
      <c r="I9" s="106"/>
      <c r="J9" s="106"/>
    </row>
    <row r="10" spans="1:10" x14ac:dyDescent="0.25">
      <c r="A10" s="9" t="s">
        <v>121</v>
      </c>
      <c r="E10" s="109">
        <f>SUMIFS('Monthly P&amp;L'!$E10:$AN10,'Monthly P&amp;L'!$E$3:$AN$3,"&gt;"&amp;'Annual P&amp;L'!D$3,'Monthly P&amp;L'!$E$3:$AN$3,"&lt;="&amp;'Annual P&amp;L'!E$3)</f>
        <v>0</v>
      </c>
      <c r="F10" s="109">
        <f>SUMIFS('Monthly P&amp;L'!$E10:$AN10,'Monthly P&amp;L'!$E$3:$AN$3,"&gt;"&amp;'Annual P&amp;L'!E$3,'Monthly P&amp;L'!$E$3:$AN$3,"&lt;="&amp;'Annual P&amp;L'!F$3)</f>
        <v>0</v>
      </c>
      <c r="G10" s="109">
        <f>SUMIFS('Monthly P&amp;L'!$E10:$AN10,'Monthly P&amp;L'!$E$3:$AN$3,"&gt;"&amp;'Annual P&amp;L'!F$3,'Monthly P&amp;L'!$E$3:$AN$3,"&lt;="&amp;'Annual P&amp;L'!G$3)</f>
        <v>0</v>
      </c>
      <c r="H10" s="106"/>
      <c r="I10" s="106"/>
      <c r="J10" s="106"/>
    </row>
    <row r="11" spans="1:10" x14ac:dyDescent="0.25">
      <c r="A11" t="str">
        <f>Assumptions!A25</f>
        <v>Alcoholic Beverage cost (% of revenue)</v>
      </c>
      <c r="E11" s="109">
        <f>SUMIFS('Monthly P&amp;L'!$E11:$AN11,'Monthly P&amp;L'!$E$3:$AN$3,"&gt;"&amp;'Annual P&amp;L'!D$3,'Monthly P&amp;L'!$E$3:$AN$3,"&lt;="&amp;'Annual P&amp;L'!E$3)</f>
        <v>22.604810326386648</v>
      </c>
      <c r="F11" s="109">
        <f>SUMIFS('Monthly P&amp;L'!$E11:$AN11,'Monthly P&amp;L'!$E$3:$AN$3,"&gt;"&amp;'Annual P&amp;L'!E$3,'Monthly P&amp;L'!$E$3:$AN$3,"&lt;="&amp;'Annual P&amp;L'!F$3)</f>
        <v>42.656850627119987</v>
      </c>
      <c r="G11" s="109">
        <f>SUMIFS('Monthly P&amp;L'!$E11:$AN11,'Monthly P&amp;L'!$E$3:$AN$3,"&gt;"&amp;'Annual P&amp;L'!F$3,'Monthly P&amp;L'!$E$3:$AN$3,"&lt;="&amp;'Annual P&amp;L'!G$3)</f>
        <v>63.252625847033258</v>
      </c>
      <c r="H11" s="106"/>
      <c r="I11" s="106"/>
      <c r="J11" s="106"/>
    </row>
    <row r="12" spans="1:10" x14ac:dyDescent="0.25">
      <c r="A12" t="str">
        <f>Assumptions!A26</f>
        <v>Non Alcoholic Beverages (% of revenue)</v>
      </c>
      <c r="E12" s="109">
        <f>SUMIFS('Monthly P&amp;L'!$E12:$AN12,'Monthly P&amp;L'!$E$3:$AN$3,"&gt;"&amp;'Annual P&amp;L'!D$3,'Monthly P&amp;L'!$E$3:$AN$3,"&lt;="&amp;'Annual P&amp;L'!E$3)</f>
        <v>12.466179203483364</v>
      </c>
      <c r="F12" s="109">
        <f>SUMIFS('Monthly P&amp;L'!$E12:$AN12,'Monthly P&amp;L'!$E$3:$AN$3,"&gt;"&amp;'Annual P&amp;L'!E$3,'Monthly P&amp;L'!$E$3:$AN$3,"&lt;="&amp;'Annual P&amp;L'!F$3)</f>
        <v>23.093073931196948</v>
      </c>
      <c r="G12" s="109">
        <f>SUMIFS('Monthly P&amp;L'!$E12:$AN12,'Monthly P&amp;L'!$E$3:$AN$3,"&gt;"&amp;'Annual P&amp;L'!F$3,'Monthly P&amp;L'!$E$3:$AN$3,"&lt;="&amp;'Annual P&amp;L'!G$3)</f>
        <v>33.634396220314159</v>
      </c>
      <c r="H12" s="106"/>
      <c r="I12" s="106"/>
      <c r="J12" s="106"/>
    </row>
    <row r="13" spans="1:10" x14ac:dyDescent="0.25">
      <c r="A13" t="str">
        <f>Assumptions!A27</f>
        <v>Food (% of revenue)</v>
      </c>
      <c r="E13" s="109">
        <f>SUMIFS('Monthly P&amp;L'!$E13:$AN13,'Monthly P&amp;L'!$E$3:$AN$3,"&gt;"&amp;'Annual P&amp;L'!D$3,'Monthly P&amp;L'!$E$3:$AN$3,"&lt;="&amp;'Annual P&amp;L'!E$3)</f>
        <v>44.687898243733621</v>
      </c>
      <c r="F13" s="109">
        <f>SUMIFS('Monthly P&amp;L'!$E13:$AN13,'Monthly P&amp;L'!$E$3:$AN$3,"&gt;"&amp;'Annual P&amp;L'!E$3,'Monthly P&amp;L'!$E$3:$AN$3,"&lt;="&amp;'Annual P&amp;L'!F$3)</f>
        <v>82.272396370614686</v>
      </c>
      <c r="G13" s="109">
        <f>SUMIFS('Monthly P&amp;L'!$E13:$AN13,'Monthly P&amp;L'!$E$3:$AN$3,"&gt;"&amp;'Annual P&amp;L'!F$3,'Monthly P&amp;L'!$E$3:$AN$3,"&lt;="&amp;'Annual P&amp;L'!G$3)</f>
        <v>119.11905026557736</v>
      </c>
      <c r="H13" s="106"/>
      <c r="I13" s="106"/>
      <c r="J13" s="106"/>
    </row>
    <row r="14" spans="1:10" x14ac:dyDescent="0.25">
      <c r="A14" t="s">
        <v>122</v>
      </c>
      <c r="E14" s="109">
        <f>SUMIFS('Monthly P&amp;L'!$E14:$AN14,'Monthly P&amp;L'!$E$3:$AN$3,"&gt;"&amp;'Annual P&amp;L'!D$3,'Monthly P&amp;L'!$E$3:$AN$3,"&lt;="&amp;'Annual P&amp;L'!E$3)</f>
        <v>88.74</v>
      </c>
      <c r="F14" s="109">
        <f>SUMIFS('Monthly P&amp;L'!$E14:$AN14,'Monthly P&amp;L'!$E$3:$AN$3,"&gt;"&amp;'Annual P&amp;L'!E$3,'Monthly P&amp;L'!$E$3:$AN$3,"&lt;="&amp;'Annual P&amp;L'!F$3)</f>
        <v>125.41919999999998</v>
      </c>
      <c r="G14" s="109">
        <f>SUMIFS('Monthly P&amp;L'!$E14:$AN14,'Monthly P&amp;L'!$E$3:$AN$3,"&gt;"&amp;'Annual P&amp;L'!F$3,'Monthly P&amp;L'!$E$3:$AN$3,"&lt;="&amp;'Annual P&amp;L'!G$3)</f>
        <v>135.45273599999999</v>
      </c>
      <c r="H14" s="106"/>
      <c r="I14" s="106"/>
      <c r="J14" s="106"/>
    </row>
    <row r="15" spans="1:10" s="100" customFormat="1" x14ac:dyDescent="0.25">
      <c r="A15" s="117" t="s">
        <v>123</v>
      </c>
      <c r="B15" s="117"/>
      <c r="C15" s="117"/>
      <c r="D15" s="117"/>
      <c r="E15" s="119">
        <f>SUMIFS('Monthly P&amp;L'!$E15:$AN15,'Monthly P&amp;L'!$E$3:$AN$3,"&gt;"&amp;'Annual P&amp;L'!D$3,'Monthly P&amp;L'!$E$3:$AN$3,"&lt;="&amp;'Annual P&amp;L'!E$3)</f>
        <v>168.49888777360363</v>
      </c>
      <c r="F15" s="119">
        <f>SUMIFS('Monthly P&amp;L'!$E15:$AN15,'Monthly P&amp;L'!$E$3:$AN$3,"&gt;"&amp;'Annual P&amp;L'!E$3,'Monthly P&amp;L'!$E$3:$AN$3,"&lt;="&amp;'Annual P&amp;L'!F$3)</f>
        <v>273.4415209289316</v>
      </c>
      <c r="G15" s="119">
        <f>SUMIFS('Monthly P&amp;L'!$E15:$AN15,'Monthly P&amp;L'!$E$3:$AN$3,"&gt;"&amp;'Annual P&amp;L'!F$3,'Monthly P&amp;L'!$E$3:$AN$3,"&lt;="&amp;'Annual P&amp;L'!G$3)</f>
        <v>351.45880833292472</v>
      </c>
      <c r="H15" s="108"/>
      <c r="I15" s="108"/>
      <c r="J15" s="108"/>
    </row>
    <row r="16" spans="1:10" x14ac:dyDescent="0.25">
      <c r="A16" s="9"/>
      <c r="E16" s="109">
        <f>SUMIFS('Monthly P&amp;L'!$E16:$AN16,'Monthly P&amp;L'!$E$3:$AN$3,"&gt;"&amp;'Annual P&amp;L'!D$3,'Monthly P&amp;L'!$E$3:$AN$3,"&lt;="&amp;'Annual P&amp;L'!E$3)</f>
        <v>0</v>
      </c>
      <c r="F16" s="109">
        <f>SUMIFS('Monthly P&amp;L'!$E16:$AN16,'Monthly P&amp;L'!$E$3:$AN$3,"&gt;"&amp;'Annual P&amp;L'!E$3,'Monthly P&amp;L'!$E$3:$AN$3,"&lt;="&amp;'Annual P&amp;L'!F$3)</f>
        <v>0</v>
      </c>
      <c r="G16" s="109">
        <f>SUMIFS('Monthly P&amp;L'!$E16:$AN16,'Monthly P&amp;L'!$E$3:$AN$3,"&gt;"&amp;'Annual P&amp;L'!F$3,'Monthly P&amp;L'!$E$3:$AN$3,"&lt;="&amp;'Annual P&amp;L'!G$3)</f>
        <v>0</v>
      </c>
      <c r="H16" s="106"/>
      <c r="I16" s="106"/>
      <c r="J16" s="106"/>
    </row>
    <row r="17" spans="1:10" x14ac:dyDescent="0.25">
      <c r="A17" t="s">
        <v>124</v>
      </c>
      <c r="E17" s="109">
        <f>SUMIFS('Monthly P&amp;L'!$E17:$AN17,'Monthly P&amp;L'!$E$3:$AN$3,"&gt;"&amp;'Annual P&amp;L'!D$3,'Monthly P&amp;L'!$E$3:$AN$3,"&lt;="&amp;'Annual P&amp;L'!E$3)</f>
        <v>34.200000000000003</v>
      </c>
      <c r="F17" s="109">
        <f>SUMIFS('Monthly P&amp;L'!$E17:$AN17,'Monthly P&amp;L'!$E$3:$AN$3,"&gt;"&amp;'Annual P&amp;L'!E$3,'Monthly P&amp;L'!$E$3:$AN$3,"&lt;="&amp;'Annual P&amp;L'!F$3)</f>
        <v>48.335999999999991</v>
      </c>
      <c r="G17" s="109">
        <f>SUMIFS('Monthly P&amp;L'!$E17:$AN17,'Monthly P&amp;L'!$E$3:$AN$3,"&gt;"&amp;'Annual P&amp;L'!F$3,'Monthly P&amp;L'!$E$3:$AN$3,"&lt;="&amp;'Annual P&amp;L'!G$3)</f>
        <v>52.202880000000022</v>
      </c>
      <c r="H17" s="106"/>
      <c r="I17" s="106"/>
      <c r="J17" s="106"/>
    </row>
    <row r="18" spans="1:10" x14ac:dyDescent="0.25">
      <c r="A18" t="str">
        <f>Assumptions!A52</f>
        <v>Rotalty to brand (% Of Revenue)</v>
      </c>
      <c r="E18" s="109">
        <f>SUMIFS('Monthly P&amp;L'!$E18:$AN18,'Monthly P&amp;L'!$E$3:$AN$3,"&gt;"&amp;'Annual P&amp;L'!D$3,'Monthly P&amp;L'!$E$3:$AN$3,"&lt;="&amp;'Annual P&amp;L'!E$3)</f>
        <v>12.235514059112925</v>
      </c>
      <c r="F18" s="109">
        <f>SUMIFS('Monthly P&amp;L'!$E18:$AN18,'Monthly P&amp;L'!$E$3:$AN$3,"&gt;"&amp;'Annual P&amp;L'!E$3,'Monthly P&amp;L'!$E$3:$AN$3,"&lt;="&amp;'Annual P&amp;L'!F$3)</f>
        <v>22.692536107043018</v>
      </c>
      <c r="G18" s="109">
        <f>SUMIFS('Monthly P&amp;L'!$E18:$AN18,'Monthly P&amp;L'!$E$3:$AN$3,"&gt;"&amp;'Annual P&amp;L'!F$3,'Monthly P&amp;L'!$E$3:$AN$3,"&lt;="&amp;'Annual P&amp;L'!G$3)</f>
        <v>33.093563978521196</v>
      </c>
      <c r="H18" s="106"/>
      <c r="I18" s="106"/>
      <c r="J18" s="106"/>
    </row>
    <row r="19" spans="1:10" x14ac:dyDescent="0.25">
      <c r="A19" t="str">
        <f>Assumptions!A53</f>
        <v>Rent (as per contract) (% of revenue)</v>
      </c>
      <c r="E19" s="109">
        <f>SUMIFS('Monthly P&amp;L'!$E19:$AN19,'Monthly P&amp;L'!$E$3:$AN$3,"&gt;"&amp;'Annual P&amp;L'!D$3,'Monthly P&amp;L'!$E$3:$AN$3,"&lt;="&amp;'Annual P&amp;L'!E$3)</f>
        <v>24.471028118225849</v>
      </c>
      <c r="F19" s="109">
        <f>SUMIFS('Monthly P&amp;L'!$E19:$AN19,'Monthly P&amp;L'!$E$3:$AN$3,"&gt;"&amp;'Annual P&amp;L'!E$3,'Monthly P&amp;L'!$E$3:$AN$3,"&lt;="&amp;'Annual P&amp;L'!F$3)</f>
        <v>45.385072214086037</v>
      </c>
      <c r="G19" s="109">
        <f>SUMIFS('Monthly P&amp;L'!$E19:$AN19,'Monthly P&amp;L'!$E$3:$AN$3,"&gt;"&amp;'Annual P&amp;L'!F$3,'Monthly P&amp;L'!$E$3:$AN$3,"&lt;="&amp;'Annual P&amp;L'!G$3)</f>
        <v>66.187127957042392</v>
      </c>
      <c r="H19" s="106"/>
      <c r="I19" s="106"/>
      <c r="J19" s="106"/>
    </row>
    <row r="20" spans="1:10" x14ac:dyDescent="0.25">
      <c r="A20" t="str">
        <f>Assumptions!A54</f>
        <v>Water Cost (per month)</v>
      </c>
      <c r="E20" s="109">
        <f>SUMIFS('Monthly P&amp;L'!$E20:$AN20,'Monthly P&amp;L'!$E$3:$AN$3,"&gt;"&amp;'Annual P&amp;L'!D$3,'Monthly P&amp;L'!$E$3:$AN$3,"&lt;="&amp;'Annual P&amp;L'!E$3)</f>
        <v>0.89999999999999991</v>
      </c>
      <c r="F20" s="109">
        <f>SUMIFS('Monthly P&amp;L'!$E20:$AN20,'Monthly P&amp;L'!$E$3:$AN$3,"&gt;"&amp;'Annual P&amp;L'!E$3,'Monthly P&amp;L'!$E$3:$AN$3,"&lt;="&amp;'Annual P&amp;L'!F$3)</f>
        <v>1.2720000000000002</v>
      </c>
      <c r="G20" s="109">
        <f>SUMIFS('Monthly P&amp;L'!$E20:$AN20,'Monthly P&amp;L'!$E$3:$AN$3,"&gt;"&amp;'Annual P&amp;L'!F$3,'Monthly P&amp;L'!$E$3:$AN$3,"&lt;="&amp;'Annual P&amp;L'!G$3)</f>
        <v>1.3737600000000005</v>
      </c>
      <c r="H20" s="106"/>
      <c r="I20" s="106"/>
      <c r="J20" s="106"/>
    </row>
    <row r="21" spans="1:10" x14ac:dyDescent="0.25">
      <c r="A21" t="str">
        <f>Assumptions!A55</f>
        <v>Maintenance (per month)</v>
      </c>
      <c r="E21" s="109">
        <f>SUMIFS('Monthly P&amp;L'!$E21:$AN21,'Monthly P&amp;L'!$E$3:$AN$3,"&gt;"&amp;'Annual P&amp;L'!D$3,'Monthly P&amp;L'!$E$3:$AN$3,"&lt;="&amp;'Annual P&amp;L'!E$3)</f>
        <v>4.5</v>
      </c>
      <c r="F21" s="109">
        <f>SUMIFS('Monthly P&amp;L'!$E21:$AN21,'Monthly P&amp;L'!$E$3:$AN$3,"&gt;"&amp;'Annual P&amp;L'!E$3,'Monthly P&amp;L'!$E$3:$AN$3,"&lt;="&amp;'Annual P&amp;L'!F$3)</f>
        <v>6.36</v>
      </c>
      <c r="G21" s="109">
        <f>SUMIFS('Monthly P&amp;L'!$E21:$AN21,'Monthly P&amp;L'!$E$3:$AN$3,"&gt;"&amp;'Annual P&amp;L'!F$3,'Monthly P&amp;L'!$E$3:$AN$3,"&lt;="&amp;'Annual P&amp;L'!G$3)</f>
        <v>6.8687999999999994</v>
      </c>
      <c r="H21" s="106"/>
      <c r="I21" s="106"/>
      <c r="J21" s="106"/>
    </row>
    <row r="22" spans="1:10" x14ac:dyDescent="0.25">
      <c r="A22" t="str">
        <f>Assumptions!A56</f>
        <v>Marketing cost (per month)</v>
      </c>
      <c r="E22" s="109">
        <f>SUMIFS('Monthly P&amp;L'!$E22:$AN22,'Monthly P&amp;L'!$E$3:$AN$3,"&gt;"&amp;'Annual P&amp;L'!D$3,'Monthly P&amp;L'!$E$3:$AN$3,"&lt;="&amp;'Annual P&amp;L'!E$3)</f>
        <v>2.25</v>
      </c>
      <c r="F22" s="109">
        <f>SUMIFS('Monthly P&amp;L'!$E22:$AN22,'Monthly P&amp;L'!$E$3:$AN$3,"&gt;"&amp;'Annual P&amp;L'!E$3,'Monthly P&amp;L'!$E$3:$AN$3,"&lt;="&amp;'Annual P&amp;L'!F$3)</f>
        <v>3.18</v>
      </c>
      <c r="G22" s="109">
        <f>SUMIFS('Monthly P&amp;L'!$E22:$AN22,'Monthly P&amp;L'!$E$3:$AN$3,"&gt;"&amp;'Annual P&amp;L'!F$3,'Monthly P&amp;L'!$E$3:$AN$3,"&lt;="&amp;'Annual P&amp;L'!G$3)</f>
        <v>3.4343999999999997</v>
      </c>
      <c r="H22" s="106"/>
      <c r="I22" s="106"/>
      <c r="J22" s="106"/>
    </row>
    <row r="23" spans="1:10" x14ac:dyDescent="0.25">
      <c r="A23" t="str">
        <f>Assumptions!A57</f>
        <v>Electricity (Based on area Rs./sq. Ft.)</v>
      </c>
      <c r="E23" s="109">
        <f>SUMIFS('Monthly P&amp;L'!$E23:$AN23,'Monthly P&amp;L'!$E$3:$AN$3,"&gt;"&amp;'Annual P&amp;L'!D$3,'Monthly P&amp;L'!$E$3:$AN$3,"&lt;="&amp;'Annual P&amp;L'!E$3)</f>
        <v>2.3940000000000001</v>
      </c>
      <c r="F23" s="109">
        <f>SUMIFS('Monthly P&amp;L'!$E23:$AN23,'Monthly P&amp;L'!$E$3:$AN$3,"&gt;"&amp;'Annual P&amp;L'!E$3,'Monthly P&amp;L'!$E$3:$AN$3,"&lt;="&amp;'Annual P&amp;L'!F$3)</f>
        <v>3.3835199999999999</v>
      </c>
      <c r="G23" s="109">
        <f>SUMIFS('Monthly P&amp;L'!$E23:$AN23,'Monthly P&amp;L'!$E$3:$AN$3,"&gt;"&amp;'Annual P&amp;L'!F$3,'Monthly P&amp;L'!$E$3:$AN$3,"&lt;="&amp;'Annual P&amp;L'!G$3)</f>
        <v>3.6542016000000004</v>
      </c>
      <c r="H23" s="106"/>
      <c r="I23" s="106"/>
      <c r="J23" s="106"/>
    </row>
    <row r="24" spans="1:10" x14ac:dyDescent="0.25">
      <c r="A24" t="str">
        <f>Assumptions!A58</f>
        <v>Phone and internet (per month)</v>
      </c>
      <c r="E24" s="109">
        <f>SUMIFS('Monthly P&amp;L'!$E24:$AN24,'Monthly P&amp;L'!$E$3:$AN$3,"&gt;"&amp;'Annual P&amp;L'!D$3,'Monthly P&amp;L'!$E$3:$AN$3,"&lt;="&amp;'Annual P&amp;L'!E$3)</f>
        <v>1.3499999999999999</v>
      </c>
      <c r="F24" s="109">
        <f>SUMIFS('Monthly P&amp;L'!$E24:$AN24,'Monthly P&amp;L'!$E$3:$AN$3,"&gt;"&amp;'Annual P&amp;L'!E$3,'Monthly P&amp;L'!$E$3:$AN$3,"&lt;="&amp;'Annual P&amp;L'!F$3)</f>
        <v>1.9079999999999997</v>
      </c>
      <c r="G24" s="109">
        <f>SUMIFS('Monthly P&amp;L'!$E24:$AN24,'Monthly P&amp;L'!$E$3:$AN$3,"&gt;"&amp;'Annual P&amp;L'!F$3,'Monthly P&amp;L'!$E$3:$AN$3,"&lt;="&amp;'Annual P&amp;L'!G$3)</f>
        <v>2.0606400000000002</v>
      </c>
      <c r="H24" s="106"/>
      <c r="I24" s="106"/>
      <c r="J24" s="106"/>
    </row>
    <row r="25" spans="1:10" x14ac:dyDescent="0.25">
      <c r="A25" t="str">
        <f>Assumptions!A59</f>
        <v>Housekeeping  &amp; Consumables (% of revenue)</v>
      </c>
      <c r="E25" s="109">
        <f>SUMIFS('Monthly P&amp;L'!$E25:$AN25,'Monthly P&amp;L'!$E$3:$AN$3,"&gt;"&amp;'Annual P&amp;L'!D$3,'Monthly P&amp;L'!$E$3:$AN$3,"&lt;="&amp;'Annual P&amp;L'!E$3)</f>
        <v>4.8942056236451696</v>
      </c>
      <c r="F25" s="109">
        <f>SUMIFS('Monthly P&amp;L'!$E25:$AN25,'Monthly P&amp;L'!$E$3:$AN$3,"&gt;"&amp;'Annual P&amp;L'!E$3,'Monthly P&amp;L'!$E$3:$AN$3,"&lt;="&amp;'Annual P&amp;L'!F$3)</f>
        <v>9.077014442817207</v>
      </c>
      <c r="G25" s="109">
        <f>SUMIFS('Monthly P&amp;L'!$E25:$AN25,'Monthly P&amp;L'!$E$3:$AN$3,"&gt;"&amp;'Annual P&amp;L'!F$3,'Monthly P&amp;L'!$E$3:$AN$3,"&lt;="&amp;'Annual P&amp;L'!G$3)</f>
        <v>13.237425591408478</v>
      </c>
      <c r="H25" s="106"/>
      <c r="I25" s="106"/>
      <c r="J25" s="106"/>
    </row>
    <row r="26" spans="1:10" x14ac:dyDescent="0.25">
      <c r="A26" t="str">
        <f>Assumptions!A60</f>
        <v>Payment Settlement Charges (% or revenue)</v>
      </c>
      <c r="E26" s="109">
        <f>SUMIFS('Monthly P&amp;L'!$E26:$AN26,'Monthly P&amp;L'!$E$3:$AN$3,"&gt;"&amp;'Annual P&amp;L'!D$3,'Monthly P&amp;L'!$E$3:$AN$3,"&lt;="&amp;'Annual P&amp;L'!E$3)</f>
        <v>1.8353271088669387</v>
      </c>
      <c r="F26" s="109">
        <f>SUMIFS('Monthly P&amp;L'!$E26:$AN26,'Monthly P&amp;L'!$E$3:$AN$3,"&gt;"&amp;'Annual P&amp;L'!E$3,'Monthly P&amp;L'!$E$3:$AN$3,"&lt;="&amp;'Annual P&amp;L'!F$3)</f>
        <v>3.4038804160564529</v>
      </c>
      <c r="G26" s="109">
        <f>SUMIFS('Monthly P&amp;L'!$E26:$AN26,'Monthly P&amp;L'!$E$3:$AN$3,"&gt;"&amp;'Annual P&amp;L'!F$3,'Monthly P&amp;L'!$E$3:$AN$3,"&lt;="&amp;'Annual P&amp;L'!G$3)</f>
        <v>4.9640345967781796</v>
      </c>
      <c r="H26" s="106"/>
      <c r="I26" s="106"/>
      <c r="J26" s="106"/>
    </row>
    <row r="27" spans="1:10" s="100" customFormat="1" x14ac:dyDescent="0.25">
      <c r="A27" s="117" t="s">
        <v>125</v>
      </c>
      <c r="B27" s="117"/>
      <c r="C27" s="117"/>
      <c r="D27" s="117"/>
      <c r="E27" s="119">
        <f>SUMIFS('Monthly P&amp;L'!$E27:$AN27,'Monthly P&amp;L'!$E$3:$AN$3,"&gt;"&amp;'Annual P&amp;L'!D$3,'Monthly P&amp;L'!$E$3:$AN$3,"&lt;="&amp;'Annual P&amp;L'!E$3)</f>
        <v>89.030074909850882</v>
      </c>
      <c r="F27" s="119">
        <f>SUMIFS('Monthly P&amp;L'!$E27:$AN27,'Monthly P&amp;L'!$E$3:$AN$3,"&gt;"&amp;'Annual P&amp;L'!E$3,'Monthly P&amp;L'!$E$3:$AN$3,"&lt;="&amp;'Annual P&amp;L'!F$3)</f>
        <v>144.99802318000272</v>
      </c>
      <c r="G27" s="119">
        <f>SUMIFS('Monthly P&amp;L'!$E27:$AN27,'Monthly P&amp;L'!$E$3:$AN$3,"&gt;"&amp;'Annual P&amp;L'!F$3,'Monthly P&amp;L'!$E$3:$AN$3,"&lt;="&amp;'Annual P&amp;L'!G$3)</f>
        <v>187.07683372375027</v>
      </c>
      <c r="H27" s="108"/>
      <c r="I27" s="108"/>
      <c r="J27" s="108"/>
    </row>
    <row r="28" spans="1:10" x14ac:dyDescent="0.25">
      <c r="E28" s="109">
        <f>SUMIFS('Monthly P&amp;L'!$E28:$AN28,'Monthly P&amp;L'!$E$3:$AN$3,"&gt;"&amp;'Annual P&amp;L'!D$3,'Monthly P&amp;L'!$E$3:$AN$3,"&lt;="&amp;'Annual P&amp;L'!E$3)</f>
        <v>0</v>
      </c>
      <c r="F28" s="109">
        <f>SUMIFS('Monthly P&amp;L'!$E28:$AN28,'Monthly P&amp;L'!$E$3:$AN$3,"&gt;"&amp;'Annual P&amp;L'!E$3,'Monthly P&amp;L'!$E$3:$AN$3,"&lt;="&amp;'Annual P&amp;L'!F$3)</f>
        <v>0</v>
      </c>
      <c r="G28" s="109">
        <f>SUMIFS('Monthly P&amp;L'!$E28:$AN28,'Monthly P&amp;L'!$E$3:$AN$3,"&gt;"&amp;'Annual P&amp;L'!F$3,'Monthly P&amp;L'!$E$3:$AN$3,"&lt;="&amp;'Annual P&amp;L'!G$3)</f>
        <v>0</v>
      </c>
      <c r="H28" s="106"/>
      <c r="I28" s="106"/>
      <c r="J28" s="106"/>
    </row>
    <row r="29" spans="1:10" s="100" customFormat="1" x14ac:dyDescent="0.25">
      <c r="A29" s="117" t="s">
        <v>126</v>
      </c>
      <c r="B29" s="117"/>
      <c r="C29" s="117"/>
      <c r="D29" s="117"/>
      <c r="E29" s="119">
        <f>SUMIFS('Monthly P&amp;L'!$E29:$AN29,'Monthly P&amp;L'!$E$3:$AN$3,"&gt;"&amp;'Annual P&amp;L'!D$3,'Monthly P&amp;L'!$E$3:$AN$3,"&lt;="&amp;'Annual P&amp;L'!E$3)</f>
        <v>-12.818681501196004</v>
      </c>
      <c r="F29" s="119">
        <f>SUMIFS('Monthly P&amp;L'!$E29:$AN29,'Monthly P&amp;L'!$E$3:$AN$3,"&gt;"&amp;'Annual P&amp;L'!E$3,'Monthly P&amp;L'!$E$3:$AN$3,"&lt;="&amp;'Annual P&amp;L'!F$3)</f>
        <v>35.411178031926035</v>
      </c>
      <c r="G29" s="119">
        <f>SUMIFS('Monthly P&amp;L'!$E29:$AN29,'Monthly P&amp;L'!$E$3:$AN$3,"&gt;"&amp;'Annual P&amp;L'!F$3,'Monthly P&amp;L'!$E$3:$AN$3,"&lt;="&amp;'Annual P&amp;L'!G$3)</f>
        <v>123.33563751374891</v>
      </c>
      <c r="H29" s="108"/>
      <c r="I29" s="108"/>
      <c r="J29" s="108"/>
    </row>
    <row r="30" spans="1:10" x14ac:dyDescent="0.25">
      <c r="A30" t="s">
        <v>145</v>
      </c>
      <c r="E30" s="106">
        <f>SUM('Fixed Asset Schedule'!E8,'Fixed Asset Schedule'!E16,'Fixed Asset Schedule'!E23,'Fixed Asset Schedule'!E30)</f>
        <v>17.277534246575343</v>
      </c>
      <c r="F30" s="106">
        <f>SUM('Fixed Asset Schedule'!F8,'Fixed Asset Schedule'!F16,'Fixed Asset Schedule'!F23,'Fixed Asset Schedule'!F30)</f>
        <v>20.923479452054796</v>
      </c>
      <c r="G30" s="106">
        <f>SUM('Fixed Asset Schedule'!G8,'Fixed Asset Schedule'!G16,'Fixed Asset Schedule'!G23,'Fixed Asset Schedule'!G30)</f>
        <v>18.298446575342464</v>
      </c>
      <c r="H30" s="106"/>
      <c r="I30" s="106"/>
      <c r="J30" s="106"/>
    </row>
    <row r="31" spans="1:10" x14ac:dyDescent="0.25">
      <c r="A31" s="117" t="s">
        <v>146</v>
      </c>
      <c r="B31" s="121"/>
      <c r="C31" s="121"/>
      <c r="D31" s="121"/>
      <c r="E31" s="131">
        <f>E29-E30</f>
        <v>-30.096215747771346</v>
      </c>
      <c r="F31" s="131">
        <f t="shared" ref="F31:G31" si="0">F29-F30</f>
        <v>14.487698579871239</v>
      </c>
      <c r="G31" s="131">
        <f t="shared" si="0"/>
        <v>105.03719093840644</v>
      </c>
      <c r="H31" s="106"/>
      <c r="I31" s="106"/>
      <c r="J31" s="106"/>
    </row>
    <row r="32" spans="1:10" x14ac:dyDescent="0.25">
      <c r="A32" t="s">
        <v>147</v>
      </c>
      <c r="E32" s="106">
        <v>0</v>
      </c>
      <c r="F32" s="106">
        <v>0</v>
      </c>
      <c r="G32" s="106">
        <v>0</v>
      </c>
      <c r="H32" s="106"/>
      <c r="I32" s="106"/>
      <c r="J32" s="106"/>
    </row>
    <row r="33" spans="1:10" x14ac:dyDescent="0.25">
      <c r="A33" s="117" t="s">
        <v>148</v>
      </c>
      <c r="B33" s="121"/>
      <c r="C33" s="121"/>
      <c r="D33" s="121"/>
      <c r="E33" s="118">
        <f>E31-E32</f>
        <v>-30.096215747771346</v>
      </c>
      <c r="F33" s="118">
        <f t="shared" ref="F33:G33" si="1">F31-F32</f>
        <v>14.487698579871239</v>
      </c>
      <c r="G33" s="118">
        <f t="shared" si="1"/>
        <v>105.03719093840644</v>
      </c>
      <c r="H33" s="106"/>
      <c r="I33" s="106"/>
      <c r="J33" s="106"/>
    </row>
    <row r="34" spans="1:10" x14ac:dyDescent="0.25">
      <c r="A34" t="s">
        <v>149</v>
      </c>
      <c r="E34" s="106">
        <v>0</v>
      </c>
      <c r="F34" s="106">
        <f>F33*Assumptions!$G$105</f>
        <v>3.6465537325535906</v>
      </c>
      <c r="G34" s="106">
        <f>G33*Assumptions!$G$105</f>
        <v>26.4378609591969</v>
      </c>
      <c r="H34" s="106"/>
      <c r="I34" s="106"/>
      <c r="J34" s="106"/>
    </row>
    <row r="35" spans="1:10" x14ac:dyDescent="0.25">
      <c r="A35" s="117" t="s">
        <v>150</v>
      </c>
      <c r="B35" s="117"/>
      <c r="C35" s="117"/>
      <c r="D35" s="117"/>
      <c r="E35" s="118">
        <f>E33-E34</f>
        <v>-30.096215747771346</v>
      </c>
      <c r="F35" s="118">
        <f t="shared" ref="F35:G35" si="2">F33-F34</f>
        <v>10.841144847317649</v>
      </c>
      <c r="G35" s="118">
        <f t="shared" si="2"/>
        <v>78.599329979209543</v>
      </c>
      <c r="H35" s="106"/>
      <c r="I35" s="106"/>
      <c r="J35" s="106"/>
    </row>
    <row r="36" spans="1:10" x14ac:dyDescent="0.25">
      <c r="A36" t="s">
        <v>151</v>
      </c>
      <c r="E36" s="106"/>
      <c r="F36" s="106"/>
      <c r="G36" s="106"/>
      <c r="H36" s="106"/>
      <c r="I36" s="106"/>
      <c r="J36" s="106"/>
    </row>
    <row r="37" spans="1:10" x14ac:dyDescent="0.25">
      <c r="A37" s="117" t="s">
        <v>152</v>
      </c>
      <c r="B37" s="121"/>
      <c r="C37" s="121"/>
      <c r="D37" s="121"/>
      <c r="E37" s="133">
        <f>E35/E8</f>
        <v>-0.1229871323851567</v>
      </c>
      <c r="F37" s="133">
        <f t="shared" ref="F37:G37" si="3">F35/F8</f>
        <v>2.3887027867178119E-2</v>
      </c>
      <c r="G37" s="133">
        <f t="shared" si="3"/>
        <v>0.11875319628647894</v>
      </c>
      <c r="H37" s="106"/>
      <c r="I37" s="106"/>
      <c r="J37" s="106"/>
    </row>
    <row r="38" spans="1:10" x14ac:dyDescent="0.25">
      <c r="E38" s="106"/>
      <c r="F38" s="106"/>
      <c r="G38" s="106"/>
      <c r="H38" s="106"/>
      <c r="I38" s="106"/>
      <c r="J38" s="106"/>
    </row>
    <row r="39" spans="1:10" x14ac:dyDescent="0.25">
      <c r="E39" s="106"/>
      <c r="F39" s="106"/>
      <c r="G39" s="106"/>
      <c r="H39" s="106"/>
      <c r="I39" s="106"/>
      <c r="J39" s="106"/>
    </row>
    <row r="40" spans="1:10" x14ac:dyDescent="0.25">
      <c r="E40" s="106"/>
      <c r="F40" s="106"/>
      <c r="G40" s="106"/>
      <c r="H40" s="106"/>
      <c r="I40" s="106"/>
      <c r="J40" s="106"/>
    </row>
    <row r="41" spans="1:10" x14ac:dyDescent="0.25">
      <c r="E41" s="106"/>
      <c r="F41" s="106"/>
      <c r="G41" s="106"/>
      <c r="H41" s="106"/>
      <c r="I41" s="106"/>
      <c r="J41" s="106"/>
    </row>
    <row r="42" spans="1:10" x14ac:dyDescent="0.25">
      <c r="E42" s="106"/>
      <c r="F42" s="106"/>
      <c r="G42" s="106"/>
      <c r="H42" s="106"/>
      <c r="I42" s="106"/>
      <c r="J42" s="106"/>
    </row>
    <row r="43" spans="1:10" x14ac:dyDescent="0.25">
      <c r="E43" s="106"/>
      <c r="F43" s="106"/>
      <c r="G43" s="106"/>
      <c r="H43" s="106"/>
      <c r="I43" s="106"/>
      <c r="J43" s="106"/>
    </row>
    <row r="44" spans="1:10" x14ac:dyDescent="0.25">
      <c r="E44" s="106"/>
      <c r="F44" s="106"/>
      <c r="G44" s="106"/>
      <c r="H44" s="106"/>
      <c r="I44" s="106"/>
      <c r="J44" s="106"/>
    </row>
    <row r="45" spans="1:10" x14ac:dyDescent="0.25">
      <c r="E45" s="106"/>
      <c r="F45" s="106"/>
      <c r="G45" s="106"/>
      <c r="H45" s="106"/>
      <c r="I45" s="106"/>
      <c r="J45" s="106"/>
    </row>
    <row r="46" spans="1:10" x14ac:dyDescent="0.25">
      <c r="E46" s="106"/>
      <c r="F46" s="106"/>
      <c r="G46" s="106"/>
      <c r="H46" s="106"/>
      <c r="I46" s="106"/>
      <c r="J46" s="106"/>
    </row>
    <row r="47" spans="1:10" x14ac:dyDescent="0.25">
      <c r="E47" s="106"/>
      <c r="F47" s="106"/>
      <c r="G47" s="106"/>
      <c r="H47" s="106"/>
      <c r="I47" s="106"/>
      <c r="J47" s="106"/>
    </row>
    <row r="48" spans="1:10" x14ac:dyDescent="0.25">
      <c r="E48" s="106"/>
      <c r="F48" s="106"/>
      <c r="G48" s="106"/>
      <c r="H48" s="106"/>
      <c r="I48" s="106"/>
      <c r="J48" s="106"/>
    </row>
    <row r="49" spans="5:10" x14ac:dyDescent="0.25">
      <c r="E49" s="106"/>
      <c r="F49" s="106"/>
      <c r="G49" s="106"/>
      <c r="H49" s="106"/>
      <c r="I49" s="106"/>
      <c r="J49" s="106"/>
    </row>
    <row r="50" spans="5:10" x14ac:dyDescent="0.25">
      <c r="E50" s="106"/>
      <c r="F50" s="106"/>
      <c r="G50" s="106"/>
      <c r="H50" s="106"/>
      <c r="I50" s="106"/>
      <c r="J50" s="106"/>
    </row>
    <row r="51" spans="5:10" x14ac:dyDescent="0.25">
      <c r="E51" s="106"/>
      <c r="F51" s="106"/>
      <c r="G51" s="106"/>
      <c r="H51" s="106"/>
      <c r="I51" s="106"/>
      <c r="J51" s="106"/>
    </row>
    <row r="52" spans="5:10" x14ac:dyDescent="0.25">
      <c r="E52" s="106"/>
      <c r="F52" s="106"/>
      <c r="G52" s="106"/>
      <c r="H52" s="106"/>
      <c r="I52" s="106"/>
      <c r="J52" s="106"/>
    </row>
    <row r="53" spans="5:10" x14ac:dyDescent="0.25">
      <c r="E53" s="106"/>
      <c r="F53" s="106"/>
      <c r="G53" s="106"/>
      <c r="H53" s="106"/>
      <c r="I53" s="106"/>
      <c r="J53" s="106"/>
    </row>
    <row r="54" spans="5:10" x14ac:dyDescent="0.25">
      <c r="E54" s="106"/>
      <c r="F54" s="106"/>
      <c r="G54" s="106"/>
      <c r="H54" s="106"/>
      <c r="I54" s="106"/>
      <c r="J54" s="106"/>
    </row>
    <row r="55" spans="5:10" x14ac:dyDescent="0.25">
      <c r="E55" s="106"/>
      <c r="F55" s="106"/>
      <c r="G55" s="106"/>
      <c r="H55" s="106"/>
      <c r="I55" s="106"/>
      <c r="J55" s="106"/>
    </row>
    <row r="56" spans="5:10" x14ac:dyDescent="0.25">
      <c r="E56" s="106"/>
      <c r="F56" s="106"/>
      <c r="G56" s="106"/>
      <c r="H56" s="106"/>
      <c r="I56" s="106"/>
      <c r="J56" s="106"/>
    </row>
    <row r="57" spans="5:10" x14ac:dyDescent="0.25">
      <c r="E57" s="106"/>
      <c r="F57" s="106"/>
      <c r="G57" s="106"/>
      <c r="H57" s="106"/>
      <c r="I57" s="106"/>
      <c r="J57" s="106"/>
    </row>
    <row r="58" spans="5:10" x14ac:dyDescent="0.25">
      <c r="E58" s="106"/>
      <c r="F58" s="106"/>
      <c r="G58" s="106"/>
      <c r="H58" s="106"/>
      <c r="I58" s="106"/>
      <c r="J58" s="106"/>
    </row>
    <row r="59" spans="5:10" x14ac:dyDescent="0.25">
      <c r="E59" s="106"/>
      <c r="F59" s="106"/>
      <c r="G59" s="106"/>
      <c r="H59" s="106"/>
      <c r="I59" s="106"/>
      <c r="J59" s="106"/>
    </row>
    <row r="60" spans="5:10" x14ac:dyDescent="0.25">
      <c r="E60" s="106"/>
      <c r="F60" s="106"/>
      <c r="G60" s="106"/>
      <c r="H60" s="106"/>
      <c r="I60" s="106"/>
      <c r="J60" s="106"/>
    </row>
    <row r="61" spans="5:10" x14ac:dyDescent="0.25">
      <c r="E61" s="106"/>
      <c r="F61" s="106"/>
      <c r="G61" s="106"/>
      <c r="H61" s="106"/>
      <c r="I61" s="106"/>
      <c r="J61" s="106"/>
    </row>
    <row r="62" spans="5:10" x14ac:dyDescent="0.25">
      <c r="E62" s="106"/>
      <c r="F62" s="106"/>
      <c r="G62" s="106"/>
      <c r="H62" s="106"/>
      <c r="I62" s="106"/>
      <c r="J62" s="106"/>
    </row>
    <row r="63" spans="5:10" x14ac:dyDescent="0.25">
      <c r="E63" s="106"/>
      <c r="F63" s="106"/>
      <c r="G63" s="106"/>
      <c r="H63" s="106"/>
      <c r="I63" s="106"/>
      <c r="J63" s="106"/>
    </row>
    <row r="64" spans="5:10" x14ac:dyDescent="0.25">
      <c r="E64" s="106"/>
      <c r="F64" s="106"/>
      <c r="G64" s="106"/>
      <c r="H64" s="106"/>
      <c r="I64" s="106"/>
      <c r="J64" s="10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702A-420F-4276-8B11-27D5151ABF7F}">
  <dimension ref="A1:G39"/>
  <sheetViews>
    <sheetView workbookViewId="0">
      <selection activeCell="L35" sqref="L35"/>
    </sheetView>
  </sheetViews>
  <sheetFormatPr defaultRowHeight="15" x14ac:dyDescent="0.25"/>
  <cols>
    <col min="1" max="1" width="29.140625" bestFit="1" customWidth="1"/>
    <col min="5" max="7" width="9.85546875" style="93" bestFit="1" customWidth="1"/>
    <col min="8" max="16384" width="9.140625" style="93"/>
  </cols>
  <sheetData>
    <row r="1" spans="1:7" customFormat="1" x14ac:dyDescent="0.25">
      <c r="A1" s="9" t="s">
        <v>105</v>
      </c>
      <c r="B1" s="92" t="str">
        <f>Converter!C1</f>
        <v>Lakhs</v>
      </c>
    </row>
    <row r="2" spans="1:7" customFormat="1" x14ac:dyDescent="0.25">
      <c r="E2" s="96">
        <v>1</v>
      </c>
      <c r="F2" s="96">
        <v>2</v>
      </c>
      <c r="G2" s="96">
        <v>3</v>
      </c>
    </row>
    <row r="3" spans="1:7" customFormat="1" x14ac:dyDescent="0.25">
      <c r="E3" s="97">
        <f>EOMONTH(Assumptions!G3,11)</f>
        <v>44286</v>
      </c>
      <c r="F3" s="97">
        <f>EOMONTH(E3,12)</f>
        <v>44651</v>
      </c>
      <c r="G3" s="97">
        <f>EOMONTH(F3,12)</f>
        <v>45016</v>
      </c>
    </row>
    <row r="4" spans="1:7" x14ac:dyDescent="0.25">
      <c r="A4" s="120" t="s">
        <v>168</v>
      </c>
      <c r="E4" s="138"/>
      <c r="F4" s="138"/>
      <c r="G4" s="138"/>
    </row>
    <row r="5" spans="1:7" x14ac:dyDescent="0.25">
      <c r="A5" s="120"/>
      <c r="E5" s="138"/>
      <c r="F5" s="138"/>
      <c r="G5" s="138"/>
    </row>
    <row r="6" spans="1:7" x14ac:dyDescent="0.25">
      <c r="A6" t="s">
        <v>169</v>
      </c>
      <c r="E6" s="138">
        <f>'Capital Structure'!E16</f>
        <v>225</v>
      </c>
      <c r="F6" s="138">
        <f>E6</f>
        <v>225</v>
      </c>
      <c r="G6" s="138">
        <f>F6</f>
        <v>225</v>
      </c>
    </row>
    <row r="7" spans="1:7" x14ac:dyDescent="0.25">
      <c r="A7" t="s">
        <v>170</v>
      </c>
      <c r="E7" s="138">
        <f>D7+'Annual P&amp;L'!E35</f>
        <v>-30.096215747771346</v>
      </c>
      <c r="F7" s="138">
        <f>E7+'Annual P&amp;L'!F35</f>
        <v>-19.255070900453696</v>
      </c>
      <c r="G7" s="138">
        <f>F7+'Annual P&amp;L'!G35</f>
        <v>59.344259078755847</v>
      </c>
    </row>
    <row r="8" spans="1:7" x14ac:dyDescent="0.25">
      <c r="A8" s="104" t="s">
        <v>171</v>
      </c>
      <c r="B8" s="104"/>
      <c r="C8" s="104"/>
      <c r="D8" s="104"/>
      <c r="E8" s="139">
        <f>SUM(E6:E7)</f>
        <v>194.90378425222866</v>
      </c>
      <c r="F8" s="139">
        <f t="shared" ref="F8:G8" si="0">SUM(F6:F7)</f>
        <v>205.74492909954631</v>
      </c>
      <c r="G8" s="139">
        <f t="shared" si="0"/>
        <v>284.34425907875584</v>
      </c>
    </row>
    <row r="9" spans="1:7" x14ac:dyDescent="0.25">
      <c r="E9" s="138"/>
      <c r="F9" s="138"/>
      <c r="G9" s="138"/>
    </row>
    <row r="10" spans="1:7" x14ac:dyDescent="0.25">
      <c r="A10" s="9" t="s">
        <v>140</v>
      </c>
      <c r="E10" s="138"/>
      <c r="F10" s="138"/>
      <c r="G10" s="138"/>
    </row>
    <row r="11" spans="1:7" x14ac:dyDescent="0.25">
      <c r="A11" t="s">
        <v>172</v>
      </c>
      <c r="E11" s="138">
        <f>'Working Capital'!E11</f>
        <v>10.12019115002002</v>
      </c>
      <c r="F11" s="138">
        <f>'Working Capital'!F11</f>
        <v>12.90788985390828</v>
      </c>
      <c r="G11" s="138">
        <f>'Working Capital'!G11</f>
        <v>16.246936437657812</v>
      </c>
    </row>
    <row r="12" spans="1:7" x14ac:dyDescent="0.25">
      <c r="A12" t="s">
        <v>173</v>
      </c>
      <c r="E12" s="138">
        <f>'Working Capital'!E12</f>
        <v>0</v>
      </c>
      <c r="F12" s="138">
        <f>'Working Capital'!F12</f>
        <v>0</v>
      </c>
      <c r="G12" s="138">
        <f>'Working Capital'!G12</f>
        <v>0</v>
      </c>
    </row>
    <row r="13" spans="1:7" x14ac:dyDescent="0.25">
      <c r="A13" t="str">
        <f>[1]Assumptions!A88</f>
        <v>Inventory</v>
      </c>
      <c r="E13" s="138">
        <f>'Working Capital'!E13</f>
        <v>2.7021508554851517</v>
      </c>
      <c r="F13" s="138">
        <f>'Working Capital'!F13</f>
        <v>4.0194709383363767</v>
      </c>
      <c r="G13" s="138">
        <f>'Working Capital'!G13</f>
        <v>5.5971120627922559</v>
      </c>
    </row>
    <row r="14" spans="1:7" x14ac:dyDescent="0.25">
      <c r="A14" t="str">
        <f>[1]Assumptions!A89</f>
        <v>Alcoholic Beverages</v>
      </c>
      <c r="E14" s="138">
        <f>'Working Capital'!E14</f>
        <v>1.4979473827403433</v>
      </c>
      <c r="F14" s="138">
        <f>'Working Capital'!F14</f>
        <v>2.1828263587249399</v>
      </c>
      <c r="G14" s="138">
        <f>'Working Capital'!G14</f>
        <v>3.0163068007381186</v>
      </c>
    </row>
    <row r="15" spans="1:7" x14ac:dyDescent="0.25">
      <c r="A15" t="s">
        <v>13</v>
      </c>
      <c r="E15" s="138">
        <f>'Working Capital'!E15</f>
        <v>5.378906786173431</v>
      </c>
      <c r="F15" s="138">
        <f>'Working Capital'!F15</f>
        <v>7.78483535421854</v>
      </c>
      <c r="G15" s="138">
        <f>'Working Capital'!G15</f>
        <v>10.735005341477621</v>
      </c>
    </row>
    <row r="16" spans="1:7" x14ac:dyDescent="0.25">
      <c r="E16" s="138"/>
      <c r="F16" s="138"/>
      <c r="G16" s="138"/>
    </row>
    <row r="17" spans="1:7" x14ac:dyDescent="0.25">
      <c r="A17" s="9" t="s">
        <v>174</v>
      </c>
      <c r="E17" s="140">
        <f>SUM(E11:E16)</f>
        <v>19.699196174418944</v>
      </c>
      <c r="F17" s="140">
        <f t="shared" ref="F17:G17" si="1">SUM(F11:F16)</f>
        <v>26.895022505188134</v>
      </c>
      <c r="G17" s="140">
        <f t="shared" si="1"/>
        <v>35.59536064266581</v>
      </c>
    </row>
    <row r="18" spans="1:7" x14ac:dyDescent="0.25">
      <c r="E18" s="138"/>
      <c r="F18" s="138"/>
      <c r="G18" s="138"/>
    </row>
    <row r="19" spans="1:7" x14ac:dyDescent="0.25">
      <c r="A19" s="117" t="s">
        <v>175</v>
      </c>
      <c r="B19" s="121"/>
      <c r="C19" s="121"/>
      <c r="D19" s="121"/>
      <c r="E19" s="141">
        <f>E8+E17</f>
        <v>214.6029804266476</v>
      </c>
      <c r="F19" s="141">
        <f t="shared" ref="F19:G19" si="2">F8+F17</f>
        <v>232.63995160473445</v>
      </c>
      <c r="G19" s="141">
        <f t="shared" si="2"/>
        <v>319.93961972142165</v>
      </c>
    </row>
    <row r="20" spans="1:7" x14ac:dyDescent="0.25">
      <c r="E20" s="138"/>
      <c r="F20" s="138"/>
      <c r="G20" s="138"/>
    </row>
    <row r="21" spans="1:7" x14ac:dyDescent="0.25">
      <c r="E21" s="138"/>
      <c r="F21" s="138"/>
      <c r="G21" s="138"/>
    </row>
    <row r="22" spans="1:7" x14ac:dyDescent="0.25">
      <c r="A22" s="9" t="s">
        <v>176</v>
      </c>
      <c r="E22" s="138"/>
      <c r="F22" s="138"/>
      <c r="G22" s="138"/>
    </row>
    <row r="23" spans="1:7" x14ac:dyDescent="0.25">
      <c r="A23" s="9" t="s">
        <v>128</v>
      </c>
      <c r="E23" s="138"/>
      <c r="F23" s="138"/>
      <c r="G23" s="138"/>
    </row>
    <row r="24" spans="1:7" x14ac:dyDescent="0.25">
      <c r="A24" t="str">
        <f>'[1]Capital Structure'!A6</f>
        <v>Kitchen Equipments and cutlery</v>
      </c>
      <c r="E24" s="138">
        <f>'Fixed Asset Schedule'!E9</f>
        <v>26.634246575342466</v>
      </c>
      <c r="F24" s="138">
        <f>'Fixed Asset Schedule'!F9</f>
        <v>22.639109589041094</v>
      </c>
      <c r="G24" s="138">
        <f>'Fixed Asset Schedule'!G9</f>
        <v>19.243243150684933</v>
      </c>
    </row>
    <row r="25" spans="1:7" x14ac:dyDescent="0.25">
      <c r="A25" t="str">
        <f>'[1]Capital Structure'!A7</f>
        <v>Refrigeration Equipments</v>
      </c>
      <c r="E25" s="138">
        <f>'Fixed Asset Schedule'!E17</f>
        <v>44.390410958904113</v>
      </c>
      <c r="F25" s="138">
        <f>'Fixed Asset Schedule'!F17</f>
        <v>37.731849315068494</v>
      </c>
      <c r="G25" s="138">
        <f>'Fixed Asset Schedule'!G17</f>
        <v>32.072071917808223</v>
      </c>
    </row>
    <row r="26" spans="1:7" x14ac:dyDescent="0.25">
      <c r="A26" t="str">
        <f>'[1]Capital Structure'!A8</f>
        <v>Furniture &amp; Fixtures</v>
      </c>
      <c r="E26" s="138">
        <f>'Fixed Asset Schedule'!E24</f>
        <v>47.185479452054793</v>
      </c>
      <c r="F26" s="138">
        <f>'Fixed Asset Schedule'!F24</f>
        <v>42.466931506849313</v>
      </c>
      <c r="G26" s="138">
        <f>'Fixed Asset Schedule'!G24</f>
        <v>38.22023835616438</v>
      </c>
    </row>
    <row r="27" spans="1:7" x14ac:dyDescent="0.25">
      <c r="A27" t="s">
        <v>180</v>
      </c>
      <c r="E27" s="138">
        <f>'Fixed Asset Schedule'!E31</f>
        <v>55.512328767123286</v>
      </c>
      <c r="F27" s="138">
        <f>'Fixed Asset Schedule'!F31</f>
        <v>49.961095890410959</v>
      </c>
      <c r="G27" s="138">
        <f>'Fixed Asset Schedule'!G31</f>
        <v>44.964986301369862</v>
      </c>
    </row>
    <row r="28" spans="1:7" x14ac:dyDescent="0.25">
      <c r="E28" s="138"/>
      <c r="F28" s="138"/>
      <c r="G28" s="138"/>
    </row>
    <row r="29" spans="1:7" x14ac:dyDescent="0.25">
      <c r="A29" t="s">
        <v>177</v>
      </c>
      <c r="E29" s="138">
        <f>'Capital Structure'!E10</f>
        <v>10</v>
      </c>
      <c r="F29" s="138">
        <f>E29</f>
        <v>10</v>
      </c>
      <c r="G29" s="138">
        <f>F29</f>
        <v>10</v>
      </c>
    </row>
    <row r="30" spans="1:7" x14ac:dyDescent="0.25">
      <c r="E30" s="138"/>
      <c r="F30" s="138"/>
      <c r="G30" s="138"/>
    </row>
    <row r="31" spans="1:7" x14ac:dyDescent="0.25">
      <c r="A31" s="9" t="s">
        <v>139</v>
      </c>
      <c r="E31" s="138"/>
      <c r="F31" s="138"/>
      <c r="G31" s="138"/>
    </row>
    <row r="32" spans="1:7" x14ac:dyDescent="0.25">
      <c r="A32" t="str">
        <f>'[1]Working Capital'!A6</f>
        <v>Inventory</v>
      </c>
      <c r="E32" s="138"/>
      <c r="F32" s="138"/>
      <c r="G32" s="138"/>
    </row>
    <row r="33" spans="1:7" x14ac:dyDescent="0.25">
      <c r="A33" t="str">
        <f>'[1]Working Capital'!A7</f>
        <v>Alcoholic Beverages</v>
      </c>
      <c r="E33" s="138">
        <f>'Working Capital'!E6</f>
        <v>2.7021508554851517</v>
      </c>
      <c r="F33" s="138">
        <f>'Working Capital'!F6</f>
        <v>4.0194709383363767</v>
      </c>
      <c r="G33" s="138">
        <f>'Working Capital'!G6</f>
        <v>5.5971120627922559</v>
      </c>
    </row>
    <row r="34" spans="1:7" x14ac:dyDescent="0.25">
      <c r="A34" t="str">
        <f>'[1]Working Capital'!A8</f>
        <v>Non Alcoholic Beverages</v>
      </c>
      <c r="E34" s="138">
        <f>'Working Capital'!E7</f>
        <v>0.74897369137017167</v>
      </c>
      <c r="F34" s="138">
        <f>'Working Capital'!F7</f>
        <v>1.09141317936247</v>
      </c>
      <c r="G34" s="138">
        <f>'Working Capital'!G7</f>
        <v>1.5081534003690593</v>
      </c>
    </row>
    <row r="35" spans="1:7" x14ac:dyDescent="0.25">
      <c r="A35" t="s">
        <v>13</v>
      </c>
      <c r="E35" s="138">
        <f>'Working Capital'!E8</f>
        <v>0.8964844643622385</v>
      </c>
      <c r="F35" s="138">
        <f>'Working Capital'!F8</f>
        <v>1.2974725590364233</v>
      </c>
      <c r="G35" s="138">
        <f>'Working Capital'!G8</f>
        <v>1.7891675569129366</v>
      </c>
    </row>
    <row r="36" spans="1:7" x14ac:dyDescent="0.25">
      <c r="A36" t="s">
        <v>178</v>
      </c>
      <c r="E36" s="138">
        <f>'Cashflow statement'!E22</f>
        <v>26.53290566200539</v>
      </c>
      <c r="F36" s="138">
        <f>'Cashflow statement'!F22</f>
        <v>63.432608626629317</v>
      </c>
      <c r="G36" s="138">
        <f>'Cashflow statement'!G22</f>
        <v>166.54464697532001</v>
      </c>
    </row>
    <row r="37" spans="1:7" x14ac:dyDescent="0.25">
      <c r="E37" s="138"/>
      <c r="F37" s="138"/>
      <c r="G37" s="138"/>
    </row>
    <row r="38" spans="1:7" x14ac:dyDescent="0.25">
      <c r="A38" s="117" t="s">
        <v>179</v>
      </c>
      <c r="B38" s="117"/>
      <c r="C38" s="117"/>
      <c r="D38" s="117"/>
      <c r="E38" s="141">
        <f>SUM(E24:E36)</f>
        <v>214.6029804266476</v>
      </c>
      <c r="F38" s="141">
        <f t="shared" ref="F38:G38" si="3">SUM(F24:F36)</f>
        <v>232.63995160473445</v>
      </c>
      <c r="G38" s="141">
        <f t="shared" si="3"/>
        <v>319.93961972142165</v>
      </c>
    </row>
    <row r="39" spans="1:7" x14ac:dyDescent="0.25">
      <c r="E39" s="138"/>
      <c r="F39" s="138"/>
      <c r="G39" s="1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E74E-6771-4D26-B65A-32D20EDBD1E4}">
  <dimension ref="A1:G23"/>
  <sheetViews>
    <sheetView workbookViewId="0">
      <selection activeCell="B2" sqref="B2"/>
    </sheetView>
  </sheetViews>
  <sheetFormatPr defaultRowHeight="15" x14ac:dyDescent="0.25"/>
  <cols>
    <col min="1" max="1" width="39.140625" bestFit="1" customWidth="1"/>
    <col min="5" max="7" width="9.85546875" style="109" bestFit="1" customWidth="1"/>
    <col min="8" max="16384" width="9.140625" style="93"/>
  </cols>
  <sheetData>
    <row r="1" spans="1:7" customFormat="1" x14ac:dyDescent="0.25">
      <c r="A1" s="9" t="s">
        <v>105</v>
      </c>
      <c r="B1" s="92" t="str">
        <f>Converter!C1</f>
        <v>Lakhs</v>
      </c>
    </row>
    <row r="2" spans="1:7" customFormat="1" x14ac:dyDescent="0.25">
      <c r="E2" s="96">
        <v>1</v>
      </c>
      <c r="F2" s="96">
        <v>2</v>
      </c>
      <c r="G2" s="96">
        <v>3</v>
      </c>
    </row>
    <row r="3" spans="1:7" customFormat="1" x14ac:dyDescent="0.25">
      <c r="E3" s="97">
        <f>EOMONTH(Assumptions!G3,11)</f>
        <v>44286</v>
      </c>
      <c r="F3" s="97">
        <f>EOMONTH(E3,12)</f>
        <v>44651</v>
      </c>
      <c r="G3" s="97">
        <f>EOMONTH(F3,12)</f>
        <v>45016</v>
      </c>
    </row>
    <row r="4" spans="1:7" x14ac:dyDescent="0.25">
      <c r="A4" s="120" t="s">
        <v>153</v>
      </c>
    </row>
    <row r="5" spans="1:7" x14ac:dyDescent="0.25">
      <c r="A5" t="s">
        <v>150</v>
      </c>
      <c r="E5" s="109">
        <f>'Annual P&amp;L'!E35</f>
        <v>-30.096215747771346</v>
      </c>
      <c r="F5" s="109">
        <f>'Annual P&amp;L'!F35</f>
        <v>10.841144847317649</v>
      </c>
      <c r="G5" s="109">
        <f>'Annual P&amp;L'!G35</f>
        <v>78.599329979209543</v>
      </c>
    </row>
    <row r="6" spans="1:7" x14ac:dyDescent="0.25">
      <c r="A6" t="s">
        <v>154</v>
      </c>
      <c r="E6" s="109">
        <f>'Annual P&amp;L'!E30</f>
        <v>17.277534246575343</v>
      </c>
      <c r="F6" s="109">
        <f>'Annual P&amp;L'!F30</f>
        <v>20.923479452054796</v>
      </c>
      <c r="G6" s="109">
        <f>'Annual P&amp;L'!G30</f>
        <v>18.298446575342464</v>
      </c>
    </row>
    <row r="7" spans="1:7" x14ac:dyDescent="0.25">
      <c r="A7" s="9" t="s">
        <v>155</v>
      </c>
      <c r="E7" s="122">
        <f>SUM(E5:E6)</f>
        <v>-12.818681501196004</v>
      </c>
      <c r="F7" s="122">
        <f t="shared" ref="F7:G7" si="0">SUM(F5:F6)</f>
        <v>31.764624299372443</v>
      </c>
      <c r="G7" s="122">
        <f t="shared" si="0"/>
        <v>96.89777655455201</v>
      </c>
    </row>
    <row r="8" spans="1:7" x14ac:dyDescent="0.25">
      <c r="A8" t="s">
        <v>156</v>
      </c>
      <c r="E8" s="109">
        <f>'Working Capital'!E19</f>
        <v>15.351587163201382</v>
      </c>
      <c r="F8" s="109">
        <f>'Working Capital'!F19</f>
        <v>5.1350786652514824</v>
      </c>
      <c r="G8" s="109">
        <f>'Working Capital'!G19</f>
        <v>6.2142617941386931</v>
      </c>
    </row>
    <row r="9" spans="1:7" x14ac:dyDescent="0.25">
      <c r="A9" s="104" t="s">
        <v>157</v>
      </c>
      <c r="B9" s="105"/>
      <c r="C9" s="105"/>
      <c r="D9" s="105"/>
      <c r="E9" s="134">
        <f>E7+E8</f>
        <v>2.532905662005378</v>
      </c>
      <c r="F9" s="134">
        <f t="shared" ref="F9:G9" si="1">F7+F8</f>
        <v>36.899702964623927</v>
      </c>
      <c r="G9" s="134">
        <f t="shared" si="1"/>
        <v>103.1120383486907</v>
      </c>
    </row>
    <row r="11" spans="1:7" x14ac:dyDescent="0.25">
      <c r="A11" s="120" t="s">
        <v>158</v>
      </c>
    </row>
    <row r="12" spans="1:7" x14ac:dyDescent="0.25">
      <c r="A12" t="s">
        <v>159</v>
      </c>
      <c r="E12" s="109">
        <f>-'Capital Structure'!E9</f>
        <v>-191</v>
      </c>
      <c r="F12" s="109">
        <v>0</v>
      </c>
      <c r="G12" s="109">
        <v>0</v>
      </c>
    </row>
    <row r="13" spans="1:7" x14ac:dyDescent="0.25">
      <c r="A13" t="s">
        <v>160</v>
      </c>
      <c r="E13" s="109">
        <f>-'Capital Structure'!E10</f>
        <v>-10</v>
      </c>
      <c r="F13" s="109">
        <v>0</v>
      </c>
      <c r="G13" s="109">
        <v>0</v>
      </c>
    </row>
    <row r="14" spans="1:7" x14ac:dyDescent="0.25">
      <c r="A14" s="104" t="s">
        <v>161</v>
      </c>
      <c r="B14" s="104"/>
      <c r="C14" s="104"/>
      <c r="D14" s="104"/>
      <c r="E14" s="135">
        <f>SUM(E12:E13)</f>
        <v>-201</v>
      </c>
      <c r="F14" s="135">
        <f t="shared" ref="F14:G14" si="2">SUM(F12:F13)</f>
        <v>0</v>
      </c>
      <c r="G14" s="135">
        <f t="shared" si="2"/>
        <v>0</v>
      </c>
    </row>
    <row r="16" spans="1:7" x14ac:dyDescent="0.25">
      <c r="A16" s="120" t="s">
        <v>162</v>
      </c>
    </row>
    <row r="17" spans="1:7" x14ac:dyDescent="0.25">
      <c r="A17" t="s">
        <v>163</v>
      </c>
      <c r="E17" s="109">
        <f>'Capital Structure'!E16</f>
        <v>225</v>
      </c>
      <c r="F17" s="109">
        <v>0</v>
      </c>
      <c r="G17" s="109">
        <v>0</v>
      </c>
    </row>
    <row r="18" spans="1:7" x14ac:dyDescent="0.25">
      <c r="A18" s="104" t="s">
        <v>164</v>
      </c>
      <c r="B18" s="105"/>
      <c r="C18" s="105"/>
      <c r="D18" s="105"/>
      <c r="E18" s="135">
        <f>SUM(E17)</f>
        <v>225</v>
      </c>
      <c r="F18" s="135">
        <f t="shared" ref="F18:G18" si="3">SUM(F17)</f>
        <v>0</v>
      </c>
      <c r="G18" s="135">
        <f t="shared" si="3"/>
        <v>0</v>
      </c>
    </row>
    <row r="20" spans="1:7" x14ac:dyDescent="0.25">
      <c r="A20" t="s">
        <v>165</v>
      </c>
      <c r="E20" s="109">
        <f>E9+E14+E18</f>
        <v>26.53290566200539</v>
      </c>
      <c r="F20" s="109">
        <f t="shared" ref="F20:G20" si="4">F9+F14+F18</f>
        <v>36.899702964623927</v>
      </c>
      <c r="G20" s="109">
        <f t="shared" si="4"/>
        <v>103.1120383486907</v>
      </c>
    </row>
    <row r="21" spans="1:7" x14ac:dyDescent="0.25">
      <c r="A21" t="s">
        <v>166</v>
      </c>
      <c r="E21" s="109">
        <v>0</v>
      </c>
      <c r="F21" s="109">
        <f>E22</f>
        <v>26.53290566200539</v>
      </c>
      <c r="G21" s="109">
        <f>F22</f>
        <v>63.432608626629317</v>
      </c>
    </row>
    <row r="22" spans="1:7" ht="15.75" thickBot="1" x14ac:dyDescent="0.3">
      <c r="A22" s="114" t="s">
        <v>167</v>
      </c>
      <c r="B22" s="137"/>
      <c r="C22" s="137"/>
      <c r="D22" s="137"/>
      <c r="E22" s="136">
        <f>E20+E21</f>
        <v>26.53290566200539</v>
      </c>
      <c r="F22" s="136">
        <f t="shared" ref="F22:G22" si="5">F20+F21</f>
        <v>63.432608626629317</v>
      </c>
      <c r="G22" s="136">
        <f t="shared" si="5"/>
        <v>166.54464697532001</v>
      </c>
    </row>
    <row r="23" spans="1:7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Assumptions</vt:lpstr>
      <vt:lpstr>Converter</vt:lpstr>
      <vt:lpstr>Monthly Revenue</vt:lpstr>
      <vt:lpstr>Monthly P&amp;L</vt:lpstr>
      <vt:lpstr>Capital Structure</vt:lpstr>
      <vt:lpstr>Fixed Asset Schedule</vt:lpstr>
      <vt:lpstr>Working Capital</vt:lpstr>
      <vt:lpstr>Annual P&amp;L</vt:lpstr>
      <vt:lpstr>Balance Sheet</vt:lpstr>
      <vt:lpstr>Cashflow statement</vt:lpstr>
      <vt:lpstr>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Aanand Toms Jacob</dc:creator>
  <cp:lastModifiedBy>Aanand Toms Jacob</cp:lastModifiedBy>
  <dcterms:created xsi:type="dcterms:W3CDTF">2025-11-14T06:31:03Z</dcterms:created>
  <dcterms:modified xsi:type="dcterms:W3CDTF">2025-11-27T05:22:24Z</dcterms:modified>
</cp:coreProperties>
</file>